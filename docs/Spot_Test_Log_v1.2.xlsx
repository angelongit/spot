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How to use" sheetId="2" state="visible" r:id="rId4"/>
    <sheet name="R1 sets" sheetId="3" state="visible" r:id="rId5"/>
    <sheet name="R3 rest" sheetId="4" state="visible" r:id="rId6"/>
    <sheet name="R2 noise" sheetId="5" state="visible" r:id="rId7"/>
    <sheet name="R6 rep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<sst xmlns="http://schemas.openxmlformats.org/spreadsheetml/2006/main" count="126" uniqueCount="97">
  <si>
    <t xml:space="preserve">Spot v1 test results (held-out data only)</t>
  </si>
  <si>
    <t xml:space="preserve">Calculated from the other tabs. Only rows marked Held-out = Yes are counted. Do not edit this tab.</t>
  </si>
  <si>
    <t xml:space="preserve">Measure</t>
  </si>
  <si>
    <t xml:space="preserve">Curl</t>
  </si>
  <si>
    <t xml:space="preserve">Raise</t>
  </si>
  <si>
    <t xml:space="preserve">Press</t>
  </si>
  <si>
    <t xml:space="preserve">R1 · held-out sets scored</t>
  </si>
  <si>
    <t xml:space="preserve">R1 · % of sets within ±1 (need ≥ 90%)</t>
  </si>
  <si>
    <t xml:space="preserve">R1 · sets outside ±2 (need 0)</t>
  </si>
  <si>
    <t xml:space="preserve">R1 · PASS (≥ 27 sets, ≥ 90% within ±1, none outside ±2)</t>
  </si>
  <si>
    <t xml:space="preserve">R4 · Spot mean absolute error</t>
  </si>
  <si>
    <t xml:space="preserve">R4 · watch mean absolute error</t>
  </si>
  <si>
    <t xml:space="preserve">R4 · PASS (Spot error lower than watch)</t>
  </si>
  <si>
    <t xml:space="preserve">R3 · rest periods scored</t>
  </si>
  <si>
    <t xml:space="preserve">R3 · % within ±5 s (need ≥ 90%)</t>
  </si>
  <si>
    <t xml:space="preserve">R3 · PASS (≥ 20 rests, ≥ 90% within ±5 s)</t>
  </si>
  <si>
    <t xml:space="preserve">R2 · noise sets scored</t>
  </si>
  <si>
    <t xml:space="preserve">R2 · noise sets failed (need 0)</t>
  </si>
  <si>
    <t xml:space="preserve">R2 · PASS (≥ 20 sets, none failed)</t>
  </si>
  <si>
    <t xml:space="preserve">R6a · % of reps within ±0.5 s (need ≥ 90%)</t>
  </si>
  <si>
    <t xml:space="preserve">R6b · % of video partials logged as partials (need ≥ 90%)</t>
  </si>
  <si>
    <t xml:space="preserve">R6b · % of full reps logged as partials (need ≤ 10%)</t>
  </si>
  <si>
    <t xml:space="preserve">R6c · % of momentum reps flagged (need ≥ 80%)</t>
  </si>
  <si>
    <t xml:space="preserve">R6c · % of clean reps flagged as momentum (need ≤ 10%)</t>
  </si>
  <si>
    <t xml:space="preserve">Partials are not counted as reps. For the press, R6c momentum means a rebound off the chest. R5 and R7 are pass/fail checks recorded in the Project Log.</t>
  </si>
  <si>
    <t xml:space="preserve">How to use this test log</t>
  </si>
  <si>
    <t xml:space="preserve">• Fill in only the light-orange cells. Row 2 of each tab (grey) is an example with Held-out = Example; it is never scored.</t>
  </si>
  <si>
    <t xml:space="preserve">• White cells are formulas. Do not type over them.</t>
  </si>
  <si>
    <t xml:space="preserve">• One row per set (R1 sets), per rest period (R3 rest), per noise recording (R2 noise) and per rep (R6 reps).</t>
  </si>
  <si>
    <t xml:space="preserve">• Count reps on the video BEFORE looking at Spot's count, and type the video count first.</t>
  </si>
  <si>
    <t xml:space="preserve">• Held-out? = Yes only for sets recorded after the counter was frozen (Git tag). Everything earlier is tuning data: mark it No.</t>
  </si>
  <si>
    <t xml:space="preserve">• R1 sets: Difference = Spot count − video count. Watch count is only for R4; leave it blank otherwise.</t>
  </si>
  <si>
    <t xml:space="preserve">• R3 rest: rest boundaries come from the video's counted reps, not Spot's. Mark Excluded? = Yes for any rest over 5 minutes, decided before scoring.</t>
  </si>
  <si>
    <t xml:space="preserve">• R2 noise: Pass needs Spot count = 0 and Started a set? = No.</t>
  </si>
  <si>
    <t xml:space="preserve">• R6 reps: one row per movement (full rep or partial). Video label is clean, momentum or partial, judged on video before looking at Spot's data. Rep duration (R6a) is scored on full reps only. Mark Excluded? = Yes for a rep the video shows did not follow its set type, decided before scoring.</t>
  </si>
  <si>
    <t xml:space="preserve">• R1 sets: the video count is full reps only (momentum reps included). Partials go in the Video partials column.</t>
  </si>
  <si>
    <t xml:space="preserve">• The Summary tab applies the pass rules from Spot — Requirements v1.0.</t>
  </si>
  <si>
    <t xml:space="preserve">File name rule (see data/README.md): &lt;exercise&gt;_&lt;hand&gt;_&lt;speed&gt;_&lt;form&gt;_&lt;NN&gt;reps_&lt;YYYYMMDD&gt;_&lt;HHMM&gt;.csv, for example curl_R_normal_mixed_08reps_20261102_1405.csv</t>
  </si>
  <si>
    <t xml:space="preserve">Set ID</t>
  </si>
  <si>
    <t xml:space="preserve">Date</t>
  </si>
  <si>
    <t xml:space="preserve">File name</t>
  </si>
  <si>
    <t xml:space="preserve">Exercise</t>
  </si>
  <si>
    <t xml:space="preserve">Speed</t>
  </si>
  <si>
    <t xml:space="preserve">Form</t>
  </si>
  <si>
    <t xml:space="preserve">Planned reps</t>
  </si>
  <si>
    <t xml:space="preserve">Video count (full reps)</t>
  </si>
  <si>
    <t xml:space="preserve">Spot count</t>
  </si>
  <si>
    <t xml:space="preserve">Difference (Spot − video)</t>
  </si>
  <si>
    <t xml:space="preserve">Within ±1</t>
  </si>
  <si>
    <t xml:space="preserve">Within ±2</t>
  </si>
  <si>
    <t xml:space="preserve">Held-out?</t>
  </si>
  <si>
    <t xml:space="preserve">Watch count (R4)</t>
  </si>
  <si>
    <t xml:space="preserve">Watch error</t>
  </si>
  <si>
    <t xml:space="preserve">Spot error</t>
  </si>
  <si>
    <t xml:space="preserve">Hand</t>
  </si>
  <si>
    <t xml:space="preserve">Video partials</t>
  </si>
  <si>
    <t xml:space="preserve">Spot partials</t>
  </si>
  <si>
    <t xml:space="preserve">Notes</t>
  </si>
  <si>
    <t xml:space="preserve">EXAMPLE</t>
  </si>
  <si>
    <t xml:space="preserve">2026-11-02</t>
  </si>
  <si>
    <t xml:space="preserve">curl_R_normal_mixed_08reps_20261102_1405.csv</t>
  </si>
  <si>
    <t xml:space="preserve">curl</t>
  </si>
  <si>
    <t xml:space="preserve">normal</t>
  </si>
  <si>
    <t xml:space="preserve">mixed</t>
  </si>
  <si>
    <t xml:space="preserve">Example</t>
  </si>
  <si>
    <t xml:space="preserve">R</t>
  </si>
  <si>
    <t xml:space="preserve">Example row, not scored</t>
  </si>
  <si>
    <t xml:space="preserve">Rest ID</t>
  </si>
  <si>
    <t xml:space="preserve">Set before (ID)</t>
  </si>
  <si>
    <t xml:space="preserve">Set after (ID)</t>
  </si>
  <si>
    <t xml:space="preserve">Video rest (s)</t>
  </si>
  <si>
    <t xml:space="preserve">Spot rest (s)</t>
  </si>
  <si>
    <t xml:space="preserve">Difference (s)</t>
  </si>
  <si>
    <t xml:space="preserve">Within ±5 s</t>
  </si>
  <si>
    <t xml:space="preserve">Excluded?</t>
  </si>
  <si>
    <t xml:space="preserve">C-01</t>
  </si>
  <si>
    <t xml:space="preserve">C-02</t>
  </si>
  <si>
    <t xml:space="preserve">No</t>
  </si>
  <si>
    <t xml:space="preserve">Noise ID</t>
  </si>
  <si>
    <t xml:space="preserve">Mode</t>
  </si>
  <si>
    <t xml:space="preserve">Noise types</t>
  </si>
  <si>
    <t xml:space="preserve">Between real sets?</t>
  </si>
  <si>
    <t xml:space="preserve">Length (s)</t>
  </si>
  <si>
    <t xml:space="preserve">Started a set?</t>
  </si>
  <si>
    <t xml:space="preserve">Pass</t>
  </si>
  <si>
    <t xml:space="preserve">curl_noise_pickup-carry_20261102_1420.csv</t>
  </si>
  <si>
    <t xml:space="preserve">pick up, carry</t>
  </si>
  <si>
    <t xml:space="preserve">Movement #</t>
  </si>
  <si>
    <t xml:space="preserve">Video label</t>
  </si>
  <si>
    <t xml:space="preserve">Video duration (s)</t>
  </si>
  <si>
    <t xml:space="preserve">Spot duration (s)</t>
  </si>
  <si>
    <t xml:space="preserve">Within ±0.5 s</t>
  </si>
  <si>
    <t xml:space="preserve">Spot logged as partial</t>
  </si>
  <si>
    <t xml:space="preserve">LED cue correct?</t>
  </si>
  <si>
    <t xml:space="preserve">Spot momentum flag</t>
  </si>
  <si>
    <t xml:space="preserve">momentum</t>
  </si>
  <si>
    <t xml:space="preserve">Yes</t>
  </si>
</sst>
</file>

<file path=xl/styles.xml><?xml version="1.0" encoding="utf-8"?>
<styleSheet xmlns="http://schemas.openxmlformats.org/spreadsheetml/2006/main">
  <numFmts count="4">
    <numFmt numFmtId="164" formatCode="General"/>
    <numFmt numFmtId="165" formatCode="General"/>
    <numFmt numFmtId="166" formatCode="0.0%"/>
    <numFmt numFmtId="167" formatCode="0.00"/>
  </numFmts>
  <fonts count="9">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10"/>
      <color rgb="FF64748B"/>
      <name val="Arial"/>
      <family val="0"/>
      <charset val="1"/>
    </font>
    <font>
      <b val="true"/>
      <sz val="10"/>
      <color rgb="FFFFFFFF"/>
      <name val="Arial"/>
      <family val="0"/>
      <charset val="1"/>
    </font>
    <font>
      <sz val="10"/>
      <name val="Arial"/>
      <family val="0"/>
      <charset val="1"/>
    </font>
    <font>
      <b val="true"/>
      <sz val="10"/>
      <name val="Arial"/>
      <family val="0"/>
      <charset val="1"/>
    </font>
  </fonts>
  <fills count="5">
    <fill>
      <patternFill patternType="none"/>
    </fill>
    <fill>
      <patternFill patternType="gray125"/>
    </fill>
    <fill>
      <patternFill patternType="solid">
        <fgColor rgb="FF0F766E"/>
        <bgColor rgb="FF008080"/>
      </patternFill>
    </fill>
    <fill>
      <patternFill patternType="solid">
        <fgColor rgb="FFEEF2F7"/>
        <bgColor rgb="FFFFF7E6"/>
      </patternFill>
    </fill>
    <fill>
      <patternFill patternType="solid">
        <fgColor rgb="FFFFF7E6"/>
        <bgColor rgb="FFFFFFFF"/>
      </patternFill>
    </fill>
  </fills>
  <borders count="2">
    <border diagonalUp="false" diagonalDown="false">
      <left/>
      <right/>
      <top/>
      <bottom/>
      <diagonal/>
    </border>
    <border diagonalUp="false" diagonalDown="false">
      <left style="thin">
        <color rgb="FFCBD5E1"/>
      </left>
      <right style="thin">
        <color rgb="FFCBD5E1"/>
      </right>
      <top style="thin">
        <color rgb="FFCBD5E1"/>
      </top>
      <bottom style="thin">
        <color rgb="FFCBD5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true" applyProtection="false">
      <alignment horizontal="center" vertical="bottom" textRotation="0" wrapText="false" indent="0" shrinkToFit="false"/>
      <protection locked="true" hidden="false"/>
    </xf>
    <xf numFmtId="167" fontId="7" fillId="0" borderId="1" xfId="0" applyFont="true" applyBorder="true" applyAlignment="true" applyProtection="false">
      <alignment horizontal="center" vertical="bottom" textRotation="0" wrapText="false" indent="0" shrinkToFit="false"/>
      <protection locked="true" hidden="false"/>
    </xf>
    <xf numFmtId="167" fontId="8"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66E"/>
      <rgbColor rgb="FFC0C0C0"/>
      <rgbColor rgb="FF808080"/>
      <rgbColor rgb="FF9999FF"/>
      <rgbColor rgb="FF993366"/>
      <rgbColor rgb="FFFFF7E6"/>
      <rgbColor rgb="FFEEF2F7"/>
      <rgbColor rgb="FF660066"/>
      <rgbColor rgb="FFFF8080"/>
      <rgbColor rgb="FF0066CC"/>
      <rgbColor rgb="FFCBD5E1"/>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4748B"/>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4" min="2" style="0" width="13"/>
  </cols>
  <sheetData>
    <row r="1" customFormat="false" ht="16.1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c r="D4" s="3" t="s">
        <v>5</v>
      </c>
    </row>
    <row r="5" customFormat="false" ht="15" hidden="false" customHeight="false" outlineLevel="0" collapsed="false">
      <c r="A5" s="4" t="s">
        <v>6</v>
      </c>
      <c r="B5" s="5" t="n">
        <f aca="false">COUNTIFS('R1 sets'!$D:$D,"curl",'R1 sets'!$M:$M,"Yes",'R1 sets'!$K:$K,"&lt;&gt;")</f>
        <v>0</v>
      </c>
      <c r="C5" s="5" t="n">
        <f aca="false">COUNTIFS('R1 sets'!$D:$D,"raise",'R1 sets'!$M:$M,"Yes",'R1 sets'!$K:$K,"&lt;&gt;")</f>
        <v>0</v>
      </c>
      <c r="D5" s="5" t="n">
        <f aca="false">COUNTIFS('R1 sets'!$D:$D,"press",'R1 sets'!$M:$M,"Yes",'R1 sets'!$K:$K,"&lt;&gt;")</f>
        <v>0</v>
      </c>
    </row>
    <row r="6" customFormat="false" ht="15" hidden="false" customHeight="false" outlineLevel="0" collapsed="false">
      <c r="A6" s="4" t="s">
        <v>7</v>
      </c>
      <c r="B6" s="6" t="str">
        <f aca="false">IFERROR(COUNTIFS('R1 sets'!$D:$D,"curl",'R1 sets'!$M:$M,"Yes",'R1 sets'!$K:$K,"Yes")/COUNTIFS('R1 sets'!$D:$D,"curl",'R1 sets'!$M:$M,"Yes",'R1 sets'!$K:$K,"&lt;&gt;"),"")</f>
        <v/>
      </c>
      <c r="C6" s="6" t="str">
        <f aca="false">IFERROR(COUNTIFS('R1 sets'!$D:$D,"raise",'R1 sets'!$M:$M,"Yes",'R1 sets'!$K:$K,"Yes")/COUNTIFS('R1 sets'!$D:$D,"raise",'R1 sets'!$M:$M,"Yes",'R1 sets'!$K:$K,"&lt;&gt;"),"")</f>
        <v/>
      </c>
      <c r="D6" s="6" t="str">
        <f aca="false">IFERROR(COUNTIFS('R1 sets'!$D:$D,"press",'R1 sets'!$M:$M,"Yes",'R1 sets'!$K:$K,"Yes")/COUNTIFS('R1 sets'!$D:$D,"press",'R1 sets'!$M:$M,"Yes",'R1 sets'!$K:$K,"&lt;&gt;"),"")</f>
        <v/>
      </c>
    </row>
    <row r="7" customFormat="false" ht="15" hidden="false" customHeight="false" outlineLevel="0" collapsed="false">
      <c r="A7" s="4" t="s">
        <v>8</v>
      </c>
      <c r="B7" s="5" t="n">
        <f aca="false">COUNTIFS('R1 sets'!$D:$D,"curl",'R1 sets'!$M:$M,"Yes",'R1 sets'!$L:$L,"No")</f>
        <v>0</v>
      </c>
      <c r="C7" s="5" t="n">
        <f aca="false">COUNTIFS('R1 sets'!$D:$D,"raise",'R1 sets'!$M:$M,"Yes",'R1 sets'!$L:$L,"No")</f>
        <v>0</v>
      </c>
      <c r="D7" s="5" t="n">
        <f aca="false">COUNTIFS('R1 sets'!$D:$D,"press",'R1 sets'!$M:$M,"Yes",'R1 sets'!$L:$L,"No")</f>
        <v>0</v>
      </c>
    </row>
    <row r="8" customFormat="false" ht="15" hidden="false" customHeight="false" outlineLevel="0" collapsed="false">
      <c r="A8" s="7" t="s">
        <v>9</v>
      </c>
      <c r="B8" s="8" t="str">
        <f aca="false">IF(B5=0,"—",IF(AND(B5&gt;=27,B6&gt;=0.9,B7=0),"PASS","FAIL"))</f>
        <v>—</v>
      </c>
      <c r="C8" s="8" t="str">
        <f aca="false">IF(C5=0,"—",IF(AND(C5&gt;=27,C6&gt;=0.9,C7=0),"PASS","FAIL"))</f>
        <v>—</v>
      </c>
      <c r="D8" s="8" t="str">
        <f aca="false">IF(D5=0,"—",IF(AND(D5&gt;=27,D6&gt;=0.9,D7=0),"PASS","FAIL"))</f>
        <v>—</v>
      </c>
    </row>
    <row r="9" customFormat="false" ht="15" hidden="false" customHeight="false" outlineLevel="0" collapsed="false">
      <c r="A9" s="4" t="s">
        <v>10</v>
      </c>
      <c r="B9" s="9" t="str">
        <f aca="false">IFERROR(AVERAGEIFS('R1 sets'!$P:$P,'R1 sets'!$D:$D,"curl",'R1 sets'!$M:$M,"Yes",'R1 sets'!$O:$O,"&lt;&gt;"),"")</f>
        <v/>
      </c>
      <c r="C9" s="9" t="str">
        <f aca="false">IFERROR(AVERAGEIFS('R1 sets'!$P:$P,'R1 sets'!$D:$D,"raise",'R1 sets'!$M:$M,"Yes",'R1 sets'!$O:$O,"&lt;&gt;"),"")</f>
        <v/>
      </c>
      <c r="D9" s="9" t="str">
        <f aca="false">IFERROR(AVERAGEIFS('R1 sets'!$P:$P,'R1 sets'!$D:$D,"press",'R1 sets'!$M:$M,"Yes",'R1 sets'!$O:$O,"&lt;&gt;"),"")</f>
        <v/>
      </c>
    </row>
    <row r="10" customFormat="false" ht="15" hidden="false" customHeight="false" outlineLevel="0" collapsed="false">
      <c r="A10" s="4" t="s">
        <v>11</v>
      </c>
      <c r="B10" s="9" t="str">
        <f aca="false">IFERROR(AVERAGEIFS('R1 sets'!$O:$O,'R1 sets'!$D:$D,"curl",'R1 sets'!$M:$M,"Yes",'R1 sets'!$P:$P,"&lt;&gt;"),"")</f>
        <v/>
      </c>
      <c r="C10" s="9" t="str">
        <f aca="false">IFERROR(AVERAGEIFS('R1 sets'!$O:$O,'R1 sets'!$D:$D,"raise",'R1 sets'!$M:$M,"Yes",'R1 sets'!$P:$P,"&lt;&gt;"),"")</f>
        <v/>
      </c>
      <c r="D10" s="9" t="str">
        <f aca="false">IFERROR(AVERAGEIFS('R1 sets'!$O:$O,'R1 sets'!$D:$D,"press",'R1 sets'!$M:$M,"Yes",'R1 sets'!$P:$P,"&lt;&gt;"),"")</f>
        <v/>
      </c>
    </row>
    <row r="11" customFormat="false" ht="15" hidden="false" customHeight="false" outlineLevel="0" collapsed="false">
      <c r="A11" s="7" t="s">
        <v>12</v>
      </c>
      <c r="B11" s="10" t="str">
        <f aca="false">IF(OR(B9="",B10=""),"—",IF(B9&lt;B10,"PASS","FAIL"))</f>
        <v>—</v>
      </c>
      <c r="C11" s="10" t="str">
        <f aca="false">IF(OR(C9="",C10=""),"—",IF(C9&lt;C10,"PASS","FAIL"))</f>
        <v>—</v>
      </c>
      <c r="D11" s="10" t="str">
        <f aca="false">IF(OR(D9="",D10=""),"—",IF(D9&lt;D10,"PASS","FAIL"))</f>
        <v>—</v>
      </c>
    </row>
    <row r="12" customFormat="false" ht="15" hidden="false" customHeight="false" outlineLevel="0" collapsed="false">
      <c r="A12" s="4" t="s">
        <v>13</v>
      </c>
      <c r="B12" s="5" t="n">
        <f aca="false">COUNTIFS('R3 rest'!$B:$B,"curl",'R3 rest'!$I:$I,"Yes",'R3 rest'!$J:$J,"No",'R3 rest'!$H:$H,"&lt;&gt;")</f>
        <v>0</v>
      </c>
      <c r="C12" s="5" t="n">
        <f aca="false">COUNTIFS('R3 rest'!$B:$B,"raise",'R3 rest'!$I:$I,"Yes",'R3 rest'!$J:$J,"No",'R3 rest'!$H:$H,"&lt;&gt;")</f>
        <v>0</v>
      </c>
      <c r="D12" s="5" t="n">
        <f aca="false">COUNTIFS('R3 rest'!$B:$B,"press",'R3 rest'!$I:$I,"Yes",'R3 rest'!$J:$J,"No",'R3 rest'!$H:$H,"&lt;&gt;")</f>
        <v>0</v>
      </c>
    </row>
    <row r="13" customFormat="false" ht="15" hidden="false" customHeight="false" outlineLevel="0" collapsed="false">
      <c r="A13" s="4" t="s">
        <v>14</v>
      </c>
      <c r="B13" s="6" t="str">
        <f aca="false">IFERROR(COUNTIFS('R3 rest'!$B:$B,"curl",'R3 rest'!$I:$I,"Yes",'R3 rest'!$J:$J,"No",'R3 rest'!$H:$H,"Yes")/COUNTIFS('R3 rest'!$B:$B,"curl",'R3 rest'!$I:$I,"Yes",'R3 rest'!$J:$J,"No",'R3 rest'!$H:$H,"&lt;&gt;"),"")</f>
        <v/>
      </c>
      <c r="C13" s="6" t="str">
        <f aca="false">IFERROR(COUNTIFS('R3 rest'!$B:$B,"raise",'R3 rest'!$I:$I,"Yes",'R3 rest'!$J:$J,"No",'R3 rest'!$H:$H,"Yes")/COUNTIFS('R3 rest'!$B:$B,"raise",'R3 rest'!$I:$I,"Yes",'R3 rest'!$J:$J,"No",'R3 rest'!$H:$H,"&lt;&gt;"),"")</f>
        <v/>
      </c>
      <c r="D13" s="6" t="str">
        <f aca="false">IFERROR(COUNTIFS('R3 rest'!$B:$B,"press",'R3 rest'!$I:$I,"Yes",'R3 rest'!$J:$J,"No",'R3 rest'!$H:$H,"Yes")/COUNTIFS('R3 rest'!$B:$B,"press",'R3 rest'!$I:$I,"Yes",'R3 rest'!$J:$J,"No",'R3 rest'!$H:$H,"&lt;&gt;"),"")</f>
        <v/>
      </c>
    </row>
    <row r="14" customFormat="false" ht="15" hidden="false" customHeight="false" outlineLevel="0" collapsed="false">
      <c r="A14" s="7" t="s">
        <v>15</v>
      </c>
      <c r="B14" s="8" t="str">
        <f aca="false">IF(B12=0,"—",IF(AND(B12&gt;=20,B13&gt;=0.9),"PASS","FAIL"))</f>
        <v>—</v>
      </c>
      <c r="C14" s="8" t="str">
        <f aca="false">IF(C12=0,"—",IF(AND(C12&gt;=20,C13&gt;=0.9),"PASS","FAIL"))</f>
        <v>—</v>
      </c>
      <c r="D14" s="8" t="str">
        <f aca="false">IF(D12=0,"—",IF(AND(D12&gt;=20,D13&gt;=0.9),"PASS","FAIL"))</f>
        <v>—</v>
      </c>
    </row>
    <row r="15" customFormat="false" ht="15" hidden="false" customHeight="false" outlineLevel="0" collapsed="false">
      <c r="A15" s="4" t="s">
        <v>16</v>
      </c>
      <c r="B15" s="5" t="n">
        <f aca="false">COUNTIFS('R2 noise'!$B:$B,"curl",'R2 noise'!$J:$J,"Yes",'R2 noise'!$I:$I,"&lt;&gt;")</f>
        <v>0</v>
      </c>
      <c r="C15" s="5" t="n">
        <f aca="false">COUNTIFS('R2 noise'!$B:$B,"raise",'R2 noise'!$J:$J,"Yes",'R2 noise'!$I:$I,"&lt;&gt;")</f>
        <v>0</v>
      </c>
      <c r="D15" s="5" t="n">
        <f aca="false">COUNTIFS('R2 noise'!$B:$B,"press",'R2 noise'!$J:$J,"Yes",'R2 noise'!$I:$I,"&lt;&gt;")</f>
        <v>0</v>
      </c>
    </row>
    <row r="16" customFormat="false" ht="15" hidden="false" customHeight="false" outlineLevel="0" collapsed="false">
      <c r="A16" s="4" t="s">
        <v>17</v>
      </c>
      <c r="B16" s="5" t="n">
        <f aca="false">COUNTIFS('R2 noise'!$B:$B,"curl",'R2 noise'!$J:$J,"Yes",'R2 noise'!$I:$I,"No")</f>
        <v>0</v>
      </c>
      <c r="C16" s="5" t="n">
        <f aca="false">COUNTIFS('R2 noise'!$B:$B,"raise",'R2 noise'!$J:$J,"Yes",'R2 noise'!$I:$I,"No")</f>
        <v>0</v>
      </c>
      <c r="D16" s="5" t="n">
        <f aca="false">COUNTIFS('R2 noise'!$B:$B,"press",'R2 noise'!$J:$J,"Yes",'R2 noise'!$I:$I,"No")</f>
        <v>0</v>
      </c>
    </row>
    <row r="17" customFormat="false" ht="15" hidden="false" customHeight="false" outlineLevel="0" collapsed="false">
      <c r="A17" s="7" t="s">
        <v>18</v>
      </c>
      <c r="B17" s="11" t="str">
        <f aca="false">IF(B15=0,"—",IF(AND(B15&gt;=20,B16=0),"PASS","FAIL"))</f>
        <v>—</v>
      </c>
      <c r="C17" s="11" t="str">
        <f aca="false">IF(C15=0,"—",IF(AND(C15&gt;=20,C16=0),"PASS","FAIL"))</f>
        <v>—</v>
      </c>
      <c r="D17" s="11" t="str">
        <f aca="false">IF(D15=0,"—",IF(AND(D15&gt;=20,D16=0),"PASS","FAIL"))</f>
        <v>—</v>
      </c>
    </row>
    <row r="18" customFormat="false" ht="15" hidden="false" customHeight="false" outlineLevel="0" collapsed="false">
      <c r="A18" s="4" t="s">
        <v>19</v>
      </c>
      <c r="B18" s="6" t="str">
        <f aca="false">IFERROR(COUNTIFS('R6 reps'!$C:$C,"curl",'R6 reps'!$L:$L,"Yes",'R6 reps'!$K:$K,"No",'R6 reps'!$H:$H,"Yes")/COUNTIFS('R6 reps'!$C:$C,"curl",'R6 reps'!$L:$L,"Yes",'R6 reps'!$K:$K,"No",'R6 reps'!$D:$D,"&lt;&gt;partial",'R6 reps'!$E:$E,"&lt;&gt;"),"")</f>
        <v/>
      </c>
      <c r="C18" s="6" t="str">
        <f aca="false">IFERROR(COUNTIFS('R6 reps'!$C:$C,"raise",'R6 reps'!$L:$L,"Yes",'R6 reps'!$K:$K,"No",'R6 reps'!$H:$H,"Yes")/COUNTIFS('R6 reps'!$C:$C,"raise",'R6 reps'!$L:$L,"Yes",'R6 reps'!$K:$K,"No",'R6 reps'!$D:$D,"&lt;&gt;partial",'R6 reps'!$E:$E,"&lt;&gt;"),"")</f>
        <v/>
      </c>
      <c r="D18" s="6" t="str">
        <f aca="false">IFERROR(COUNTIFS('R6 reps'!$C:$C,"press",'R6 reps'!$L:$L,"Yes",'R6 reps'!$K:$K,"No",'R6 reps'!$H:$H,"Yes")/COUNTIFS('R6 reps'!$C:$C,"press",'R6 reps'!$L:$L,"Yes",'R6 reps'!$K:$K,"No",'R6 reps'!$D:$D,"&lt;&gt;partial",'R6 reps'!$E:$E,"&lt;&gt;"),"")</f>
        <v/>
      </c>
    </row>
    <row r="19" customFormat="false" ht="15" hidden="false" customHeight="false" outlineLevel="0" collapsed="false">
      <c r="A19" s="4" t="s">
        <v>20</v>
      </c>
      <c r="B19" s="6" t="str">
        <f aca="false">IFERROR(COUNTIFS('R6 reps'!$C:$C,"curl",'R6 reps'!$L:$L,"Yes",'R6 reps'!$K:$K,"No",'R6 reps'!$D:$D,"partial",'R6 reps'!$I:$I,"Yes")/COUNTIFS('R6 reps'!$C:$C,"curl",'R6 reps'!$L:$L,"Yes",'R6 reps'!$K:$K,"No",'R6 reps'!$D:$D,"partial",'R6 reps'!$I:$I,"&lt;&gt;"),"")</f>
        <v/>
      </c>
      <c r="C19" s="6" t="str">
        <f aca="false">IFERROR(COUNTIFS('R6 reps'!$C:$C,"raise",'R6 reps'!$L:$L,"Yes",'R6 reps'!$K:$K,"No",'R6 reps'!$D:$D,"partial",'R6 reps'!$I:$I,"Yes")/COUNTIFS('R6 reps'!$C:$C,"raise",'R6 reps'!$L:$L,"Yes",'R6 reps'!$K:$K,"No",'R6 reps'!$D:$D,"partial",'R6 reps'!$I:$I,"&lt;&gt;"),"")</f>
        <v/>
      </c>
      <c r="D19" s="6" t="str">
        <f aca="false">IFERROR(COUNTIFS('R6 reps'!$C:$C,"press",'R6 reps'!$L:$L,"Yes",'R6 reps'!$K:$K,"No",'R6 reps'!$D:$D,"partial",'R6 reps'!$I:$I,"Yes")/COUNTIFS('R6 reps'!$C:$C,"press",'R6 reps'!$L:$L,"Yes",'R6 reps'!$K:$K,"No",'R6 reps'!$D:$D,"partial",'R6 reps'!$I:$I,"&lt;&gt;"),"")</f>
        <v/>
      </c>
    </row>
    <row r="20" customFormat="false" ht="15" hidden="false" customHeight="false" outlineLevel="0" collapsed="false">
      <c r="A20" s="4" t="s">
        <v>21</v>
      </c>
      <c r="B20" s="6" t="str">
        <f aca="false">IFERROR(COUNTIFS('R6 reps'!$C:$C,"curl",'R6 reps'!$L:$L,"Yes",'R6 reps'!$K:$K,"No",'R6 reps'!$D:$D,"&lt;&gt;partial",'R6 reps'!$I:$I,"Yes")/COUNTIFS('R6 reps'!$C:$C,"curl",'R6 reps'!$L:$L,"Yes",'R6 reps'!$K:$K,"No",'R6 reps'!$D:$D,"&lt;&gt;partial",'R6 reps'!$I:$I,"&lt;&gt;"),"")</f>
        <v/>
      </c>
      <c r="C20" s="6" t="str">
        <f aca="false">IFERROR(COUNTIFS('R6 reps'!$C:$C,"raise",'R6 reps'!$L:$L,"Yes",'R6 reps'!$K:$K,"No",'R6 reps'!$D:$D,"&lt;&gt;partial",'R6 reps'!$I:$I,"Yes")/COUNTIFS('R6 reps'!$C:$C,"raise",'R6 reps'!$L:$L,"Yes",'R6 reps'!$K:$K,"No",'R6 reps'!$D:$D,"&lt;&gt;partial",'R6 reps'!$I:$I,"&lt;&gt;"),"")</f>
        <v/>
      </c>
      <c r="D20" s="6" t="str">
        <f aca="false">IFERROR(COUNTIFS('R6 reps'!$C:$C,"press",'R6 reps'!$L:$L,"Yes",'R6 reps'!$K:$K,"No",'R6 reps'!$D:$D,"&lt;&gt;partial",'R6 reps'!$I:$I,"Yes")/COUNTIFS('R6 reps'!$C:$C,"press",'R6 reps'!$L:$L,"Yes",'R6 reps'!$K:$K,"No",'R6 reps'!$D:$D,"&lt;&gt;partial",'R6 reps'!$I:$I,"&lt;&gt;"),"")</f>
        <v/>
      </c>
    </row>
    <row r="21" customFormat="false" ht="15" hidden="false" customHeight="false" outlineLevel="0" collapsed="false">
      <c r="A21" s="4" t="s">
        <v>22</v>
      </c>
      <c r="B21" s="6" t="str">
        <f aca="false">IFERROR(COUNTIFS('R6 reps'!$C:$C,"curl",'R6 reps'!$L:$L,"Yes",'R6 reps'!$K:$K,"No",'R6 reps'!$D:$D,"momentum",'R6 reps'!$M:$M,"Yes")/COUNTIFS('R6 reps'!$C:$C,"curl",'R6 reps'!$L:$L,"Yes",'R6 reps'!$K:$K,"No",'R6 reps'!$D:$D,"momentum",'R6 reps'!$M:$M,"&lt;&gt;"),"")</f>
        <v/>
      </c>
      <c r="C21" s="6" t="str">
        <f aca="false">IFERROR(COUNTIFS('R6 reps'!$C:$C,"raise",'R6 reps'!$L:$L,"Yes",'R6 reps'!$K:$K,"No",'R6 reps'!$D:$D,"momentum",'R6 reps'!$M:$M,"Yes")/COUNTIFS('R6 reps'!$C:$C,"raise",'R6 reps'!$L:$L,"Yes",'R6 reps'!$K:$K,"No",'R6 reps'!$D:$D,"momentum",'R6 reps'!$M:$M,"&lt;&gt;"),"")</f>
        <v/>
      </c>
      <c r="D21" s="6" t="str">
        <f aca="false">IFERROR(COUNTIFS('R6 reps'!$C:$C,"press",'R6 reps'!$L:$L,"Yes",'R6 reps'!$K:$K,"No",'R6 reps'!$D:$D,"momentum",'R6 reps'!$M:$M,"Yes")/COUNTIFS('R6 reps'!$C:$C,"press",'R6 reps'!$L:$L,"Yes",'R6 reps'!$K:$K,"No",'R6 reps'!$D:$D,"momentum",'R6 reps'!$M:$M,"&lt;&gt;"),"")</f>
        <v/>
      </c>
    </row>
    <row r="22" customFormat="false" ht="15" hidden="false" customHeight="false" outlineLevel="0" collapsed="false">
      <c r="A22" s="4" t="s">
        <v>23</v>
      </c>
      <c r="B22" s="6" t="str">
        <f aca="false">IFERROR(COUNTIFS('R6 reps'!$C:$C,"curl",'R6 reps'!$L:$L,"Yes",'R6 reps'!$K:$K,"No",'R6 reps'!$D:$D,"clean",'R6 reps'!$M:$M,"Yes")/COUNTIFS('R6 reps'!$C:$C,"curl",'R6 reps'!$L:$L,"Yes",'R6 reps'!$K:$K,"No",'R6 reps'!$D:$D,"clean",'R6 reps'!$M:$M,"&lt;&gt;"),"")</f>
        <v/>
      </c>
      <c r="C22" s="6" t="str">
        <f aca="false">IFERROR(COUNTIFS('R6 reps'!$C:$C,"raise",'R6 reps'!$L:$L,"Yes",'R6 reps'!$K:$K,"No",'R6 reps'!$D:$D,"clean",'R6 reps'!$M:$M,"Yes")/COUNTIFS('R6 reps'!$C:$C,"raise",'R6 reps'!$L:$L,"Yes",'R6 reps'!$K:$K,"No",'R6 reps'!$D:$D,"clean",'R6 reps'!$M:$M,"&lt;&gt;"),"")</f>
        <v/>
      </c>
      <c r="D22" s="6" t="str">
        <f aca="false">IFERROR(COUNTIFS('R6 reps'!$C:$C,"press",'R6 reps'!$L:$L,"Yes",'R6 reps'!$K:$K,"No",'R6 reps'!$D:$D,"clean",'R6 reps'!$M:$M,"Yes")/COUNTIFS('R6 reps'!$C:$C,"press",'R6 reps'!$L:$L,"Yes",'R6 reps'!$K:$K,"No",'R6 reps'!$D:$D,"clean",'R6 reps'!$M:$M,"&lt;&gt;"),"")</f>
        <v/>
      </c>
    </row>
    <row r="24" customFormat="false" ht="15" hidden="false" customHeight="false" outlineLevel="0" collapsed="false">
      <c r="A24" s="2" t="s">
        <v>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5"/>
  </cols>
  <sheetData>
    <row r="1" customFormat="false" ht="16.15" hidden="false" customHeight="false" outlineLevel="0" collapsed="false">
      <c r="A1" s="12" t="s">
        <v>25</v>
      </c>
    </row>
    <row r="2" customFormat="false" ht="15" hidden="false" customHeight="false" outlineLevel="0" collapsed="false">
      <c r="A2" s="13"/>
    </row>
    <row r="3" customFormat="false" ht="15" hidden="false" customHeight="false" outlineLevel="0" collapsed="false">
      <c r="A3" s="13" t="s">
        <v>26</v>
      </c>
    </row>
    <row r="4" customFormat="false" ht="15" hidden="false" customHeight="false" outlineLevel="0" collapsed="false">
      <c r="A4" s="13" t="s">
        <v>27</v>
      </c>
    </row>
    <row r="5" customFormat="false" ht="15" hidden="false" customHeight="false" outlineLevel="0" collapsed="false">
      <c r="A5" s="13" t="s">
        <v>28</v>
      </c>
    </row>
    <row r="6" customFormat="false" ht="15" hidden="false" customHeight="false" outlineLevel="0" collapsed="false">
      <c r="A6" s="13" t="s">
        <v>29</v>
      </c>
    </row>
    <row r="7" customFormat="false" ht="15" hidden="false" customHeight="false" outlineLevel="0" collapsed="false">
      <c r="A7" s="13" t="s">
        <v>30</v>
      </c>
    </row>
    <row r="8" customFormat="false" ht="15" hidden="false" customHeight="false" outlineLevel="0" collapsed="false">
      <c r="A8" s="13" t="s">
        <v>31</v>
      </c>
    </row>
    <row r="9" customFormat="false" ht="23.85" hidden="false" customHeight="false" outlineLevel="0" collapsed="false">
      <c r="A9" s="13" t="s">
        <v>32</v>
      </c>
    </row>
    <row r="10" customFormat="false" ht="15" hidden="false" customHeight="false" outlineLevel="0" collapsed="false">
      <c r="A10" s="13" t="s">
        <v>33</v>
      </c>
    </row>
    <row r="11" customFormat="false" ht="35.05" hidden="false" customHeight="false" outlineLevel="0" collapsed="false">
      <c r="A11" s="13" t="s">
        <v>34</v>
      </c>
    </row>
    <row r="12" customFormat="false" ht="15" hidden="false" customHeight="false" outlineLevel="0" collapsed="false">
      <c r="A12" s="13" t="s">
        <v>35</v>
      </c>
    </row>
    <row r="13" customFormat="false" ht="15" hidden="false" customHeight="false" outlineLevel="0" collapsed="false">
      <c r="A13" s="13" t="s">
        <v>36</v>
      </c>
    </row>
    <row r="14" customFormat="false" ht="15" hidden="false" customHeight="false" outlineLevel="0" collapsed="false">
      <c r="A14" s="13"/>
    </row>
    <row r="15" customFormat="false" ht="23.85" hidden="false" customHeight="false" outlineLevel="0" collapsed="false">
      <c r="A15" s="13" t="s">
        <v>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1"/>
    <col collapsed="false" customWidth="true" hidden="false" outlineLevel="0" max="3" min="3" style="0" width="42"/>
    <col collapsed="false" customWidth="true" hidden="false" outlineLevel="0" max="4" min="4" style="0" width="10"/>
    <col collapsed="false" customWidth="true" hidden="false" outlineLevel="0" max="5" min="5" style="0" width="9"/>
    <col collapsed="false" customWidth="true" hidden="false" outlineLevel="0" max="6" min="6" style="0" width="11"/>
    <col collapsed="false" customWidth="true" hidden="false" outlineLevel="0" max="7" min="7" style="0" width="9"/>
    <col collapsed="false" customWidth="true" hidden="false" outlineLevel="0" max="8" min="8" style="0" width="11"/>
    <col collapsed="false" customWidth="true" hidden="false" outlineLevel="0" max="9" min="9" style="0" width="9"/>
    <col collapsed="false" customWidth="true" hidden="false" outlineLevel="0" max="10" min="10" style="0" width="12"/>
    <col collapsed="false" customWidth="true" hidden="false" outlineLevel="0" max="12" min="11" style="0" width="9"/>
    <col collapsed="false" customWidth="true" hidden="false" outlineLevel="0" max="14" min="13" style="0" width="10"/>
    <col collapsed="false" customWidth="true" hidden="false" outlineLevel="0" max="16" min="15" style="0" width="9"/>
    <col collapsed="false" customWidth="true" hidden="false" outlineLevel="0" max="17" min="17" style="0" width="7"/>
    <col collapsed="false" customWidth="true" hidden="false" outlineLevel="0" max="19" min="18" style="0" width="9"/>
    <col collapsed="false" customWidth="true" hidden="false" outlineLevel="0" max="20" min="20" style="0" width="30"/>
  </cols>
  <sheetData>
    <row r="1" customFormat="false" ht="31.5" hidden="false" customHeight="true" outlineLevel="0" collapsed="false">
      <c r="A1" s="14" t="s">
        <v>38</v>
      </c>
      <c r="B1" s="14" t="s">
        <v>39</v>
      </c>
      <c r="C1" s="14" t="s">
        <v>40</v>
      </c>
      <c r="D1" s="14" t="s">
        <v>41</v>
      </c>
      <c r="E1" s="14" t="s">
        <v>42</v>
      </c>
      <c r="F1" s="14" t="s">
        <v>43</v>
      </c>
      <c r="G1" s="14" t="s">
        <v>44</v>
      </c>
      <c r="H1" s="14" t="s">
        <v>45</v>
      </c>
      <c r="I1" s="14" t="s">
        <v>46</v>
      </c>
      <c r="J1" s="14" t="s">
        <v>47</v>
      </c>
      <c r="K1" s="14" t="s">
        <v>48</v>
      </c>
      <c r="L1" s="14" t="s">
        <v>49</v>
      </c>
      <c r="M1" s="14" t="s">
        <v>50</v>
      </c>
      <c r="N1" s="14" t="s">
        <v>51</v>
      </c>
      <c r="O1" s="14" t="s">
        <v>52</v>
      </c>
      <c r="P1" s="14" t="s">
        <v>53</v>
      </c>
      <c r="Q1" s="14" t="s">
        <v>54</v>
      </c>
      <c r="R1" s="14" t="s">
        <v>55</v>
      </c>
      <c r="S1" s="14" t="s">
        <v>56</v>
      </c>
      <c r="T1" s="14" t="s">
        <v>57</v>
      </c>
    </row>
    <row r="2" customFormat="false" ht="15" hidden="false" customHeight="false" outlineLevel="0" collapsed="false">
      <c r="A2" s="15" t="s">
        <v>58</v>
      </c>
      <c r="B2" s="15" t="s">
        <v>59</v>
      </c>
      <c r="C2" s="15" t="s">
        <v>60</v>
      </c>
      <c r="D2" s="15" t="s">
        <v>61</v>
      </c>
      <c r="E2" s="15" t="s">
        <v>62</v>
      </c>
      <c r="F2" s="15" t="s">
        <v>63</v>
      </c>
      <c r="G2" s="15" t="n">
        <v>8</v>
      </c>
      <c r="H2" s="15" t="n">
        <v>8</v>
      </c>
      <c r="I2" s="15" t="n">
        <v>9</v>
      </c>
      <c r="J2" s="4" t="n">
        <f aca="false">IF(OR(H2="",I2=""),"",I2-H2)</f>
        <v>1</v>
      </c>
      <c r="K2" s="4" t="str">
        <f aca="false">IF(J2="","",IF(ABS(J2)&lt;=1,"Yes","No"))</f>
        <v>Yes</v>
      </c>
      <c r="L2" s="4" t="str">
        <f aca="false">IF(J2="","",IF(ABS(J2)&lt;=2,"Yes","No"))</f>
        <v>Yes</v>
      </c>
      <c r="M2" s="15" t="s">
        <v>64</v>
      </c>
      <c r="N2" s="15" t="n">
        <v>7</v>
      </c>
      <c r="O2" s="4" t="n">
        <f aca="false">IF(OR(H2="",N2=""),"",ABS(N2-H2))</f>
        <v>1</v>
      </c>
      <c r="P2" s="4" t="n">
        <f aca="false">IF(J2="","",ABS(J2))</f>
        <v>1</v>
      </c>
      <c r="Q2" s="15" t="s">
        <v>65</v>
      </c>
      <c r="R2" s="15" t="n">
        <v>3</v>
      </c>
      <c r="S2" s="15" t="n">
        <v>3</v>
      </c>
      <c r="T2" s="15" t="s">
        <v>66</v>
      </c>
    </row>
    <row r="3" customFormat="false" ht="15" hidden="false" customHeight="false" outlineLevel="0" collapsed="false">
      <c r="A3" s="16"/>
      <c r="B3" s="16"/>
      <c r="C3" s="16"/>
      <c r="D3" s="16"/>
      <c r="E3" s="16"/>
      <c r="F3" s="16"/>
      <c r="G3" s="16"/>
      <c r="H3" s="16"/>
      <c r="I3" s="16"/>
      <c r="J3" s="4" t="str">
        <f aca="false">IF(OR(H3="",I3=""),"",I3-H3)</f>
        <v/>
      </c>
      <c r="K3" s="4" t="str">
        <f aca="false">IF(J3="","",IF(ABS(J3)&lt;=1,"Yes","No"))</f>
        <v/>
      </c>
      <c r="L3" s="4" t="str">
        <f aca="false">IF(J3="","",IF(ABS(J3)&lt;=2,"Yes","No"))</f>
        <v/>
      </c>
      <c r="M3" s="16"/>
      <c r="N3" s="16"/>
      <c r="O3" s="4" t="str">
        <f aca="false">IF(OR(H3="",N3=""),"",ABS(N3-H3))</f>
        <v/>
      </c>
      <c r="P3" s="4" t="str">
        <f aca="false">IF(J3="","",ABS(J3))</f>
        <v/>
      </c>
      <c r="Q3" s="16"/>
      <c r="R3" s="16"/>
      <c r="S3" s="16"/>
      <c r="T3" s="16"/>
    </row>
    <row r="4" customFormat="false" ht="15" hidden="false" customHeight="false" outlineLevel="0" collapsed="false">
      <c r="A4" s="16"/>
      <c r="B4" s="16"/>
      <c r="C4" s="16"/>
      <c r="D4" s="16"/>
      <c r="E4" s="16"/>
      <c r="F4" s="16"/>
      <c r="G4" s="16"/>
      <c r="H4" s="16"/>
      <c r="I4" s="16"/>
      <c r="J4" s="4" t="str">
        <f aca="false">IF(OR(H4="",I4=""),"",I4-H4)</f>
        <v/>
      </c>
      <c r="K4" s="4" t="str">
        <f aca="false">IF(J4="","",IF(ABS(J4)&lt;=1,"Yes","No"))</f>
        <v/>
      </c>
      <c r="L4" s="4" t="str">
        <f aca="false">IF(J4="","",IF(ABS(J4)&lt;=2,"Yes","No"))</f>
        <v/>
      </c>
      <c r="M4" s="16"/>
      <c r="N4" s="16"/>
      <c r="O4" s="4" t="str">
        <f aca="false">IF(OR(H4="",N4=""),"",ABS(N4-H4))</f>
        <v/>
      </c>
      <c r="P4" s="4" t="str">
        <f aca="false">IF(J4="","",ABS(J4))</f>
        <v/>
      </c>
      <c r="Q4" s="16"/>
      <c r="R4" s="16"/>
      <c r="S4" s="16"/>
      <c r="T4" s="16"/>
    </row>
    <row r="5" customFormat="false" ht="15" hidden="false" customHeight="false" outlineLevel="0" collapsed="false">
      <c r="A5" s="16"/>
      <c r="B5" s="16"/>
      <c r="C5" s="16"/>
      <c r="D5" s="16"/>
      <c r="E5" s="16"/>
      <c r="F5" s="16"/>
      <c r="G5" s="16"/>
      <c r="H5" s="16"/>
      <c r="I5" s="16"/>
      <c r="J5" s="4" t="str">
        <f aca="false">IF(OR(H5="",I5=""),"",I5-H5)</f>
        <v/>
      </c>
      <c r="K5" s="4" t="str">
        <f aca="false">IF(J5="","",IF(ABS(J5)&lt;=1,"Yes","No"))</f>
        <v/>
      </c>
      <c r="L5" s="4" t="str">
        <f aca="false">IF(J5="","",IF(ABS(J5)&lt;=2,"Yes","No"))</f>
        <v/>
      </c>
      <c r="M5" s="16"/>
      <c r="N5" s="16"/>
      <c r="O5" s="4" t="str">
        <f aca="false">IF(OR(H5="",N5=""),"",ABS(N5-H5))</f>
        <v/>
      </c>
      <c r="P5" s="4" t="str">
        <f aca="false">IF(J5="","",ABS(J5))</f>
        <v/>
      </c>
      <c r="Q5" s="16"/>
      <c r="R5" s="16"/>
      <c r="S5" s="16"/>
      <c r="T5" s="16"/>
    </row>
    <row r="6" customFormat="false" ht="15" hidden="false" customHeight="false" outlineLevel="0" collapsed="false">
      <c r="A6" s="16"/>
      <c r="B6" s="16"/>
      <c r="C6" s="16"/>
      <c r="D6" s="16"/>
      <c r="E6" s="16"/>
      <c r="F6" s="16"/>
      <c r="G6" s="16"/>
      <c r="H6" s="16"/>
      <c r="I6" s="16"/>
      <c r="J6" s="4" t="str">
        <f aca="false">IF(OR(H6="",I6=""),"",I6-H6)</f>
        <v/>
      </c>
      <c r="K6" s="4" t="str">
        <f aca="false">IF(J6="","",IF(ABS(J6)&lt;=1,"Yes","No"))</f>
        <v/>
      </c>
      <c r="L6" s="4" t="str">
        <f aca="false">IF(J6="","",IF(ABS(J6)&lt;=2,"Yes","No"))</f>
        <v/>
      </c>
      <c r="M6" s="16"/>
      <c r="N6" s="16"/>
      <c r="O6" s="4" t="str">
        <f aca="false">IF(OR(H6="",N6=""),"",ABS(N6-H6))</f>
        <v/>
      </c>
      <c r="P6" s="4" t="str">
        <f aca="false">IF(J6="","",ABS(J6))</f>
        <v/>
      </c>
      <c r="Q6" s="16"/>
      <c r="R6" s="16"/>
      <c r="S6" s="16"/>
      <c r="T6" s="16"/>
    </row>
    <row r="7" customFormat="false" ht="15" hidden="false" customHeight="false" outlineLevel="0" collapsed="false">
      <c r="A7" s="16"/>
      <c r="B7" s="16"/>
      <c r="C7" s="16"/>
      <c r="D7" s="16"/>
      <c r="E7" s="16"/>
      <c r="F7" s="16"/>
      <c r="G7" s="16"/>
      <c r="H7" s="16"/>
      <c r="I7" s="16"/>
      <c r="J7" s="4" t="str">
        <f aca="false">IF(OR(H7="",I7=""),"",I7-H7)</f>
        <v/>
      </c>
      <c r="K7" s="4" t="str">
        <f aca="false">IF(J7="","",IF(ABS(J7)&lt;=1,"Yes","No"))</f>
        <v/>
      </c>
      <c r="L7" s="4" t="str">
        <f aca="false">IF(J7="","",IF(ABS(J7)&lt;=2,"Yes","No"))</f>
        <v/>
      </c>
      <c r="M7" s="16"/>
      <c r="N7" s="16"/>
      <c r="O7" s="4" t="str">
        <f aca="false">IF(OR(H7="",N7=""),"",ABS(N7-H7))</f>
        <v/>
      </c>
      <c r="P7" s="4" t="str">
        <f aca="false">IF(J7="","",ABS(J7))</f>
        <v/>
      </c>
      <c r="Q7" s="16"/>
      <c r="R7" s="16"/>
      <c r="S7" s="16"/>
      <c r="T7" s="16"/>
    </row>
    <row r="8" customFormat="false" ht="15" hidden="false" customHeight="false" outlineLevel="0" collapsed="false">
      <c r="A8" s="16"/>
      <c r="B8" s="16"/>
      <c r="C8" s="16"/>
      <c r="D8" s="16"/>
      <c r="E8" s="16"/>
      <c r="F8" s="16"/>
      <c r="G8" s="16"/>
      <c r="H8" s="16"/>
      <c r="I8" s="16"/>
      <c r="J8" s="4" t="str">
        <f aca="false">IF(OR(H8="",I8=""),"",I8-H8)</f>
        <v/>
      </c>
      <c r="K8" s="4" t="str">
        <f aca="false">IF(J8="","",IF(ABS(J8)&lt;=1,"Yes","No"))</f>
        <v/>
      </c>
      <c r="L8" s="4" t="str">
        <f aca="false">IF(J8="","",IF(ABS(J8)&lt;=2,"Yes","No"))</f>
        <v/>
      </c>
      <c r="M8" s="16"/>
      <c r="N8" s="16"/>
      <c r="O8" s="4" t="str">
        <f aca="false">IF(OR(H8="",N8=""),"",ABS(N8-H8))</f>
        <v/>
      </c>
      <c r="P8" s="4" t="str">
        <f aca="false">IF(J8="","",ABS(J8))</f>
        <v/>
      </c>
      <c r="Q8" s="16"/>
      <c r="R8" s="16"/>
      <c r="S8" s="16"/>
      <c r="T8" s="16"/>
    </row>
    <row r="9" customFormat="false" ht="15" hidden="false" customHeight="false" outlineLevel="0" collapsed="false">
      <c r="A9" s="16"/>
      <c r="B9" s="16"/>
      <c r="C9" s="16"/>
      <c r="D9" s="16"/>
      <c r="E9" s="16"/>
      <c r="F9" s="16"/>
      <c r="G9" s="16"/>
      <c r="H9" s="16"/>
      <c r="I9" s="16"/>
      <c r="J9" s="4" t="str">
        <f aca="false">IF(OR(H9="",I9=""),"",I9-H9)</f>
        <v/>
      </c>
      <c r="K9" s="4" t="str">
        <f aca="false">IF(J9="","",IF(ABS(J9)&lt;=1,"Yes","No"))</f>
        <v/>
      </c>
      <c r="L9" s="4" t="str">
        <f aca="false">IF(J9="","",IF(ABS(J9)&lt;=2,"Yes","No"))</f>
        <v/>
      </c>
      <c r="M9" s="16"/>
      <c r="N9" s="16"/>
      <c r="O9" s="4" t="str">
        <f aca="false">IF(OR(H9="",N9=""),"",ABS(N9-H9))</f>
        <v/>
      </c>
      <c r="P9" s="4" t="str">
        <f aca="false">IF(J9="","",ABS(J9))</f>
        <v/>
      </c>
      <c r="Q9" s="16"/>
      <c r="R9" s="16"/>
      <c r="S9" s="16"/>
      <c r="T9" s="16"/>
    </row>
    <row r="10" customFormat="false" ht="15" hidden="false" customHeight="false" outlineLevel="0" collapsed="false">
      <c r="A10" s="16"/>
      <c r="B10" s="16"/>
      <c r="C10" s="16"/>
      <c r="D10" s="16"/>
      <c r="E10" s="16"/>
      <c r="F10" s="16"/>
      <c r="G10" s="16"/>
      <c r="H10" s="16"/>
      <c r="I10" s="16"/>
      <c r="J10" s="4" t="str">
        <f aca="false">IF(OR(H10="",I10=""),"",I10-H10)</f>
        <v/>
      </c>
      <c r="K10" s="4" t="str">
        <f aca="false">IF(J10="","",IF(ABS(J10)&lt;=1,"Yes","No"))</f>
        <v/>
      </c>
      <c r="L10" s="4" t="str">
        <f aca="false">IF(J10="","",IF(ABS(J10)&lt;=2,"Yes","No"))</f>
        <v/>
      </c>
      <c r="M10" s="16"/>
      <c r="N10" s="16"/>
      <c r="O10" s="4" t="str">
        <f aca="false">IF(OR(H10="",N10=""),"",ABS(N10-H10))</f>
        <v/>
      </c>
      <c r="P10" s="4" t="str">
        <f aca="false">IF(J10="","",ABS(J10))</f>
        <v/>
      </c>
      <c r="Q10" s="16"/>
      <c r="R10" s="16"/>
      <c r="S10" s="16"/>
      <c r="T10" s="16"/>
    </row>
    <row r="11" customFormat="false" ht="15" hidden="false" customHeight="false" outlineLevel="0" collapsed="false">
      <c r="A11" s="16"/>
      <c r="B11" s="16"/>
      <c r="C11" s="16"/>
      <c r="D11" s="16"/>
      <c r="E11" s="16"/>
      <c r="F11" s="16"/>
      <c r="G11" s="16"/>
      <c r="H11" s="16"/>
      <c r="I11" s="16"/>
      <c r="J11" s="4" t="str">
        <f aca="false">IF(OR(H11="",I11=""),"",I11-H11)</f>
        <v/>
      </c>
      <c r="K11" s="4" t="str">
        <f aca="false">IF(J11="","",IF(ABS(J11)&lt;=1,"Yes","No"))</f>
        <v/>
      </c>
      <c r="L11" s="4" t="str">
        <f aca="false">IF(J11="","",IF(ABS(J11)&lt;=2,"Yes","No"))</f>
        <v/>
      </c>
      <c r="M11" s="16"/>
      <c r="N11" s="16"/>
      <c r="O11" s="4" t="str">
        <f aca="false">IF(OR(H11="",N11=""),"",ABS(N11-H11))</f>
        <v/>
      </c>
      <c r="P11" s="4" t="str">
        <f aca="false">IF(J11="","",ABS(J11))</f>
        <v/>
      </c>
      <c r="Q11" s="16"/>
      <c r="R11" s="16"/>
      <c r="S11" s="16"/>
      <c r="T11" s="16"/>
    </row>
    <row r="12" customFormat="false" ht="15" hidden="false" customHeight="false" outlineLevel="0" collapsed="false">
      <c r="A12" s="16"/>
      <c r="B12" s="16"/>
      <c r="C12" s="16"/>
      <c r="D12" s="16"/>
      <c r="E12" s="16"/>
      <c r="F12" s="16"/>
      <c r="G12" s="16"/>
      <c r="H12" s="16"/>
      <c r="I12" s="16"/>
      <c r="J12" s="4" t="str">
        <f aca="false">IF(OR(H12="",I12=""),"",I12-H12)</f>
        <v/>
      </c>
      <c r="K12" s="4" t="str">
        <f aca="false">IF(J12="","",IF(ABS(J12)&lt;=1,"Yes","No"))</f>
        <v/>
      </c>
      <c r="L12" s="4" t="str">
        <f aca="false">IF(J12="","",IF(ABS(J12)&lt;=2,"Yes","No"))</f>
        <v/>
      </c>
      <c r="M12" s="16"/>
      <c r="N12" s="16"/>
      <c r="O12" s="4" t="str">
        <f aca="false">IF(OR(H12="",N12=""),"",ABS(N12-H12))</f>
        <v/>
      </c>
      <c r="P12" s="4" t="str">
        <f aca="false">IF(J12="","",ABS(J12))</f>
        <v/>
      </c>
      <c r="Q12" s="16"/>
      <c r="R12" s="16"/>
      <c r="S12" s="16"/>
      <c r="T12" s="16"/>
    </row>
    <row r="13" customFormat="false" ht="15" hidden="false" customHeight="false" outlineLevel="0" collapsed="false">
      <c r="A13" s="16"/>
      <c r="B13" s="16"/>
      <c r="C13" s="16"/>
      <c r="D13" s="16"/>
      <c r="E13" s="16"/>
      <c r="F13" s="16"/>
      <c r="G13" s="16"/>
      <c r="H13" s="16"/>
      <c r="I13" s="16"/>
      <c r="J13" s="4" t="str">
        <f aca="false">IF(OR(H13="",I13=""),"",I13-H13)</f>
        <v/>
      </c>
      <c r="K13" s="4" t="str">
        <f aca="false">IF(J13="","",IF(ABS(J13)&lt;=1,"Yes","No"))</f>
        <v/>
      </c>
      <c r="L13" s="4" t="str">
        <f aca="false">IF(J13="","",IF(ABS(J13)&lt;=2,"Yes","No"))</f>
        <v/>
      </c>
      <c r="M13" s="16"/>
      <c r="N13" s="16"/>
      <c r="O13" s="4" t="str">
        <f aca="false">IF(OR(H13="",N13=""),"",ABS(N13-H13))</f>
        <v/>
      </c>
      <c r="P13" s="4" t="str">
        <f aca="false">IF(J13="","",ABS(J13))</f>
        <v/>
      </c>
      <c r="Q13" s="16"/>
      <c r="R13" s="16"/>
      <c r="S13" s="16"/>
      <c r="T13" s="16"/>
    </row>
    <row r="14" customFormat="false" ht="15" hidden="false" customHeight="false" outlineLevel="0" collapsed="false">
      <c r="A14" s="16"/>
      <c r="B14" s="16"/>
      <c r="C14" s="16"/>
      <c r="D14" s="16"/>
      <c r="E14" s="16"/>
      <c r="F14" s="16"/>
      <c r="G14" s="16"/>
      <c r="H14" s="16"/>
      <c r="I14" s="16"/>
      <c r="J14" s="4" t="str">
        <f aca="false">IF(OR(H14="",I14=""),"",I14-H14)</f>
        <v/>
      </c>
      <c r="K14" s="4" t="str">
        <f aca="false">IF(J14="","",IF(ABS(J14)&lt;=1,"Yes","No"))</f>
        <v/>
      </c>
      <c r="L14" s="4" t="str">
        <f aca="false">IF(J14="","",IF(ABS(J14)&lt;=2,"Yes","No"))</f>
        <v/>
      </c>
      <c r="M14" s="16"/>
      <c r="N14" s="16"/>
      <c r="O14" s="4" t="str">
        <f aca="false">IF(OR(H14="",N14=""),"",ABS(N14-H14))</f>
        <v/>
      </c>
      <c r="P14" s="4" t="str">
        <f aca="false">IF(J14="","",ABS(J14))</f>
        <v/>
      </c>
      <c r="Q14" s="16"/>
      <c r="R14" s="16"/>
      <c r="S14" s="16"/>
      <c r="T14" s="16"/>
    </row>
    <row r="15" customFormat="false" ht="15" hidden="false" customHeight="false" outlineLevel="0" collapsed="false">
      <c r="A15" s="16"/>
      <c r="B15" s="16"/>
      <c r="C15" s="16"/>
      <c r="D15" s="16"/>
      <c r="E15" s="16"/>
      <c r="F15" s="16"/>
      <c r="G15" s="16"/>
      <c r="H15" s="16"/>
      <c r="I15" s="16"/>
      <c r="J15" s="4" t="str">
        <f aca="false">IF(OR(H15="",I15=""),"",I15-H15)</f>
        <v/>
      </c>
      <c r="K15" s="4" t="str">
        <f aca="false">IF(J15="","",IF(ABS(J15)&lt;=1,"Yes","No"))</f>
        <v/>
      </c>
      <c r="L15" s="4" t="str">
        <f aca="false">IF(J15="","",IF(ABS(J15)&lt;=2,"Yes","No"))</f>
        <v/>
      </c>
      <c r="M15" s="16"/>
      <c r="N15" s="16"/>
      <c r="O15" s="4" t="str">
        <f aca="false">IF(OR(H15="",N15=""),"",ABS(N15-H15))</f>
        <v/>
      </c>
      <c r="P15" s="4" t="str">
        <f aca="false">IF(J15="","",ABS(J15))</f>
        <v/>
      </c>
      <c r="Q15" s="16"/>
      <c r="R15" s="16"/>
      <c r="S15" s="16"/>
      <c r="T15" s="16"/>
    </row>
    <row r="16" customFormat="false" ht="15" hidden="false" customHeight="false" outlineLevel="0" collapsed="false">
      <c r="A16" s="16"/>
      <c r="B16" s="16"/>
      <c r="C16" s="16"/>
      <c r="D16" s="16"/>
      <c r="E16" s="16"/>
      <c r="F16" s="16"/>
      <c r="G16" s="16"/>
      <c r="H16" s="16"/>
      <c r="I16" s="16"/>
      <c r="J16" s="4" t="str">
        <f aca="false">IF(OR(H16="",I16=""),"",I16-H16)</f>
        <v/>
      </c>
      <c r="K16" s="4" t="str">
        <f aca="false">IF(J16="","",IF(ABS(J16)&lt;=1,"Yes","No"))</f>
        <v/>
      </c>
      <c r="L16" s="4" t="str">
        <f aca="false">IF(J16="","",IF(ABS(J16)&lt;=2,"Yes","No"))</f>
        <v/>
      </c>
      <c r="M16" s="16"/>
      <c r="N16" s="16"/>
      <c r="O16" s="4" t="str">
        <f aca="false">IF(OR(H16="",N16=""),"",ABS(N16-H16))</f>
        <v/>
      </c>
      <c r="P16" s="4" t="str">
        <f aca="false">IF(J16="","",ABS(J16))</f>
        <v/>
      </c>
      <c r="Q16" s="16"/>
      <c r="R16" s="16"/>
      <c r="S16" s="16"/>
      <c r="T16" s="16"/>
    </row>
    <row r="17" customFormat="false" ht="15" hidden="false" customHeight="false" outlineLevel="0" collapsed="false">
      <c r="A17" s="16"/>
      <c r="B17" s="16"/>
      <c r="C17" s="16"/>
      <c r="D17" s="16"/>
      <c r="E17" s="16"/>
      <c r="F17" s="16"/>
      <c r="G17" s="16"/>
      <c r="H17" s="16"/>
      <c r="I17" s="16"/>
      <c r="J17" s="4" t="str">
        <f aca="false">IF(OR(H17="",I17=""),"",I17-H17)</f>
        <v/>
      </c>
      <c r="K17" s="4" t="str">
        <f aca="false">IF(J17="","",IF(ABS(J17)&lt;=1,"Yes","No"))</f>
        <v/>
      </c>
      <c r="L17" s="4" t="str">
        <f aca="false">IF(J17="","",IF(ABS(J17)&lt;=2,"Yes","No"))</f>
        <v/>
      </c>
      <c r="M17" s="16"/>
      <c r="N17" s="16"/>
      <c r="O17" s="4" t="str">
        <f aca="false">IF(OR(H17="",N17=""),"",ABS(N17-H17))</f>
        <v/>
      </c>
      <c r="P17" s="4" t="str">
        <f aca="false">IF(J17="","",ABS(J17))</f>
        <v/>
      </c>
      <c r="Q17" s="16"/>
      <c r="R17" s="16"/>
      <c r="S17" s="16"/>
      <c r="T17" s="16"/>
    </row>
    <row r="18" customFormat="false" ht="15" hidden="false" customHeight="false" outlineLevel="0" collapsed="false">
      <c r="A18" s="16"/>
      <c r="B18" s="16"/>
      <c r="C18" s="16"/>
      <c r="D18" s="16"/>
      <c r="E18" s="16"/>
      <c r="F18" s="16"/>
      <c r="G18" s="16"/>
      <c r="H18" s="16"/>
      <c r="I18" s="16"/>
      <c r="J18" s="4" t="str">
        <f aca="false">IF(OR(H18="",I18=""),"",I18-H18)</f>
        <v/>
      </c>
      <c r="K18" s="4" t="str">
        <f aca="false">IF(J18="","",IF(ABS(J18)&lt;=1,"Yes","No"))</f>
        <v/>
      </c>
      <c r="L18" s="4" t="str">
        <f aca="false">IF(J18="","",IF(ABS(J18)&lt;=2,"Yes","No"))</f>
        <v/>
      </c>
      <c r="M18" s="16"/>
      <c r="N18" s="16"/>
      <c r="O18" s="4" t="str">
        <f aca="false">IF(OR(H18="",N18=""),"",ABS(N18-H18))</f>
        <v/>
      </c>
      <c r="P18" s="4" t="str">
        <f aca="false">IF(J18="","",ABS(J18))</f>
        <v/>
      </c>
      <c r="Q18" s="16"/>
      <c r="R18" s="16"/>
      <c r="S18" s="16"/>
      <c r="T18" s="16"/>
    </row>
    <row r="19" customFormat="false" ht="15" hidden="false" customHeight="false" outlineLevel="0" collapsed="false">
      <c r="A19" s="16"/>
      <c r="B19" s="16"/>
      <c r="C19" s="16"/>
      <c r="D19" s="16"/>
      <c r="E19" s="16"/>
      <c r="F19" s="16"/>
      <c r="G19" s="16"/>
      <c r="H19" s="16"/>
      <c r="I19" s="16"/>
      <c r="J19" s="4" t="str">
        <f aca="false">IF(OR(H19="",I19=""),"",I19-H19)</f>
        <v/>
      </c>
      <c r="K19" s="4" t="str">
        <f aca="false">IF(J19="","",IF(ABS(J19)&lt;=1,"Yes","No"))</f>
        <v/>
      </c>
      <c r="L19" s="4" t="str">
        <f aca="false">IF(J19="","",IF(ABS(J19)&lt;=2,"Yes","No"))</f>
        <v/>
      </c>
      <c r="M19" s="16"/>
      <c r="N19" s="16"/>
      <c r="O19" s="4" t="str">
        <f aca="false">IF(OR(H19="",N19=""),"",ABS(N19-H19))</f>
        <v/>
      </c>
      <c r="P19" s="4" t="str">
        <f aca="false">IF(J19="","",ABS(J19))</f>
        <v/>
      </c>
      <c r="Q19" s="16"/>
      <c r="R19" s="16"/>
      <c r="S19" s="16"/>
      <c r="T19" s="16"/>
    </row>
    <row r="20" customFormat="false" ht="15" hidden="false" customHeight="false" outlineLevel="0" collapsed="false">
      <c r="A20" s="16"/>
      <c r="B20" s="16"/>
      <c r="C20" s="16"/>
      <c r="D20" s="16"/>
      <c r="E20" s="16"/>
      <c r="F20" s="16"/>
      <c r="G20" s="16"/>
      <c r="H20" s="16"/>
      <c r="I20" s="16"/>
      <c r="J20" s="4" t="str">
        <f aca="false">IF(OR(H20="",I20=""),"",I20-H20)</f>
        <v/>
      </c>
      <c r="K20" s="4" t="str">
        <f aca="false">IF(J20="","",IF(ABS(J20)&lt;=1,"Yes","No"))</f>
        <v/>
      </c>
      <c r="L20" s="4" t="str">
        <f aca="false">IF(J20="","",IF(ABS(J20)&lt;=2,"Yes","No"))</f>
        <v/>
      </c>
      <c r="M20" s="16"/>
      <c r="N20" s="16"/>
      <c r="O20" s="4" t="str">
        <f aca="false">IF(OR(H20="",N20=""),"",ABS(N20-H20))</f>
        <v/>
      </c>
      <c r="P20" s="4" t="str">
        <f aca="false">IF(J20="","",ABS(J20))</f>
        <v/>
      </c>
      <c r="Q20" s="16"/>
      <c r="R20" s="16"/>
      <c r="S20" s="16"/>
      <c r="T20" s="16"/>
    </row>
    <row r="21" customFormat="false" ht="15" hidden="false" customHeight="false" outlineLevel="0" collapsed="false">
      <c r="A21" s="16"/>
      <c r="B21" s="16"/>
      <c r="C21" s="16"/>
      <c r="D21" s="16"/>
      <c r="E21" s="16"/>
      <c r="F21" s="16"/>
      <c r="G21" s="16"/>
      <c r="H21" s="16"/>
      <c r="I21" s="16"/>
      <c r="J21" s="4" t="str">
        <f aca="false">IF(OR(H21="",I21=""),"",I21-H21)</f>
        <v/>
      </c>
      <c r="K21" s="4" t="str">
        <f aca="false">IF(J21="","",IF(ABS(J21)&lt;=1,"Yes","No"))</f>
        <v/>
      </c>
      <c r="L21" s="4" t="str">
        <f aca="false">IF(J21="","",IF(ABS(J21)&lt;=2,"Yes","No"))</f>
        <v/>
      </c>
      <c r="M21" s="16"/>
      <c r="N21" s="16"/>
      <c r="O21" s="4" t="str">
        <f aca="false">IF(OR(H21="",N21=""),"",ABS(N21-H21))</f>
        <v/>
      </c>
      <c r="P21" s="4" t="str">
        <f aca="false">IF(J21="","",ABS(J21))</f>
        <v/>
      </c>
      <c r="Q21" s="16"/>
      <c r="R21" s="16"/>
      <c r="S21" s="16"/>
      <c r="T21" s="16"/>
    </row>
    <row r="22" customFormat="false" ht="15" hidden="false" customHeight="false" outlineLevel="0" collapsed="false">
      <c r="A22" s="16"/>
      <c r="B22" s="16"/>
      <c r="C22" s="16"/>
      <c r="D22" s="16"/>
      <c r="E22" s="16"/>
      <c r="F22" s="16"/>
      <c r="G22" s="16"/>
      <c r="H22" s="16"/>
      <c r="I22" s="16"/>
      <c r="J22" s="4" t="str">
        <f aca="false">IF(OR(H22="",I22=""),"",I22-H22)</f>
        <v/>
      </c>
      <c r="K22" s="4" t="str">
        <f aca="false">IF(J22="","",IF(ABS(J22)&lt;=1,"Yes","No"))</f>
        <v/>
      </c>
      <c r="L22" s="4" t="str">
        <f aca="false">IF(J22="","",IF(ABS(J22)&lt;=2,"Yes","No"))</f>
        <v/>
      </c>
      <c r="M22" s="16"/>
      <c r="N22" s="16"/>
      <c r="O22" s="4" t="str">
        <f aca="false">IF(OR(H22="",N22=""),"",ABS(N22-H22))</f>
        <v/>
      </c>
      <c r="P22" s="4" t="str">
        <f aca="false">IF(J22="","",ABS(J22))</f>
        <v/>
      </c>
      <c r="Q22" s="16"/>
      <c r="R22" s="16"/>
      <c r="S22" s="16"/>
      <c r="T22" s="16"/>
    </row>
    <row r="23" customFormat="false" ht="15" hidden="false" customHeight="false" outlineLevel="0" collapsed="false">
      <c r="A23" s="16"/>
      <c r="B23" s="16"/>
      <c r="C23" s="16"/>
      <c r="D23" s="16"/>
      <c r="E23" s="16"/>
      <c r="F23" s="16"/>
      <c r="G23" s="16"/>
      <c r="H23" s="16"/>
      <c r="I23" s="16"/>
      <c r="J23" s="4" t="str">
        <f aca="false">IF(OR(H23="",I23=""),"",I23-H23)</f>
        <v/>
      </c>
      <c r="K23" s="4" t="str">
        <f aca="false">IF(J23="","",IF(ABS(J23)&lt;=1,"Yes","No"))</f>
        <v/>
      </c>
      <c r="L23" s="4" t="str">
        <f aca="false">IF(J23="","",IF(ABS(J23)&lt;=2,"Yes","No"))</f>
        <v/>
      </c>
      <c r="M23" s="16"/>
      <c r="N23" s="16"/>
      <c r="O23" s="4" t="str">
        <f aca="false">IF(OR(H23="",N23=""),"",ABS(N23-H23))</f>
        <v/>
      </c>
      <c r="P23" s="4" t="str">
        <f aca="false">IF(J23="","",ABS(J23))</f>
        <v/>
      </c>
      <c r="Q23" s="16"/>
      <c r="R23" s="16"/>
      <c r="S23" s="16"/>
      <c r="T23" s="16"/>
    </row>
    <row r="24" customFormat="false" ht="15" hidden="false" customHeight="false" outlineLevel="0" collapsed="false">
      <c r="A24" s="16"/>
      <c r="B24" s="16"/>
      <c r="C24" s="16"/>
      <c r="D24" s="16"/>
      <c r="E24" s="16"/>
      <c r="F24" s="16"/>
      <c r="G24" s="16"/>
      <c r="H24" s="16"/>
      <c r="I24" s="16"/>
      <c r="J24" s="4" t="str">
        <f aca="false">IF(OR(H24="",I24=""),"",I24-H24)</f>
        <v/>
      </c>
      <c r="K24" s="4" t="str">
        <f aca="false">IF(J24="","",IF(ABS(J24)&lt;=1,"Yes","No"))</f>
        <v/>
      </c>
      <c r="L24" s="4" t="str">
        <f aca="false">IF(J24="","",IF(ABS(J24)&lt;=2,"Yes","No"))</f>
        <v/>
      </c>
      <c r="M24" s="16"/>
      <c r="N24" s="16"/>
      <c r="O24" s="4" t="str">
        <f aca="false">IF(OR(H24="",N24=""),"",ABS(N24-H24))</f>
        <v/>
      </c>
      <c r="P24" s="4" t="str">
        <f aca="false">IF(J24="","",ABS(J24))</f>
        <v/>
      </c>
      <c r="Q24" s="16"/>
      <c r="R24" s="16"/>
      <c r="S24" s="16"/>
      <c r="T24" s="16"/>
    </row>
    <row r="25" customFormat="false" ht="15" hidden="false" customHeight="false" outlineLevel="0" collapsed="false">
      <c r="A25" s="16"/>
      <c r="B25" s="16"/>
      <c r="C25" s="16"/>
      <c r="D25" s="16"/>
      <c r="E25" s="16"/>
      <c r="F25" s="16"/>
      <c r="G25" s="16"/>
      <c r="H25" s="16"/>
      <c r="I25" s="16"/>
      <c r="J25" s="4" t="str">
        <f aca="false">IF(OR(H25="",I25=""),"",I25-H25)</f>
        <v/>
      </c>
      <c r="K25" s="4" t="str">
        <f aca="false">IF(J25="","",IF(ABS(J25)&lt;=1,"Yes","No"))</f>
        <v/>
      </c>
      <c r="L25" s="4" t="str">
        <f aca="false">IF(J25="","",IF(ABS(J25)&lt;=2,"Yes","No"))</f>
        <v/>
      </c>
      <c r="M25" s="16"/>
      <c r="N25" s="16"/>
      <c r="O25" s="4" t="str">
        <f aca="false">IF(OR(H25="",N25=""),"",ABS(N25-H25))</f>
        <v/>
      </c>
      <c r="P25" s="4" t="str">
        <f aca="false">IF(J25="","",ABS(J25))</f>
        <v/>
      </c>
      <c r="Q25" s="16"/>
      <c r="R25" s="16"/>
      <c r="S25" s="16"/>
      <c r="T25" s="16"/>
    </row>
    <row r="26" customFormat="false" ht="15" hidden="false" customHeight="false" outlineLevel="0" collapsed="false">
      <c r="A26" s="16"/>
      <c r="B26" s="16"/>
      <c r="C26" s="16"/>
      <c r="D26" s="16"/>
      <c r="E26" s="16"/>
      <c r="F26" s="16"/>
      <c r="G26" s="16"/>
      <c r="H26" s="16"/>
      <c r="I26" s="16"/>
      <c r="J26" s="4" t="str">
        <f aca="false">IF(OR(H26="",I26=""),"",I26-H26)</f>
        <v/>
      </c>
      <c r="K26" s="4" t="str">
        <f aca="false">IF(J26="","",IF(ABS(J26)&lt;=1,"Yes","No"))</f>
        <v/>
      </c>
      <c r="L26" s="4" t="str">
        <f aca="false">IF(J26="","",IF(ABS(J26)&lt;=2,"Yes","No"))</f>
        <v/>
      </c>
      <c r="M26" s="16"/>
      <c r="N26" s="16"/>
      <c r="O26" s="4" t="str">
        <f aca="false">IF(OR(H26="",N26=""),"",ABS(N26-H26))</f>
        <v/>
      </c>
      <c r="P26" s="4" t="str">
        <f aca="false">IF(J26="","",ABS(J26))</f>
        <v/>
      </c>
      <c r="Q26" s="16"/>
      <c r="R26" s="16"/>
      <c r="S26" s="16"/>
      <c r="T26" s="16"/>
    </row>
    <row r="27" customFormat="false" ht="15" hidden="false" customHeight="false" outlineLevel="0" collapsed="false">
      <c r="A27" s="16"/>
      <c r="B27" s="16"/>
      <c r="C27" s="16"/>
      <c r="D27" s="16"/>
      <c r="E27" s="16"/>
      <c r="F27" s="16"/>
      <c r="G27" s="16"/>
      <c r="H27" s="16"/>
      <c r="I27" s="16"/>
      <c r="J27" s="4" t="str">
        <f aca="false">IF(OR(H27="",I27=""),"",I27-H27)</f>
        <v/>
      </c>
      <c r="K27" s="4" t="str">
        <f aca="false">IF(J27="","",IF(ABS(J27)&lt;=1,"Yes","No"))</f>
        <v/>
      </c>
      <c r="L27" s="4" t="str">
        <f aca="false">IF(J27="","",IF(ABS(J27)&lt;=2,"Yes","No"))</f>
        <v/>
      </c>
      <c r="M27" s="16"/>
      <c r="N27" s="16"/>
      <c r="O27" s="4" t="str">
        <f aca="false">IF(OR(H27="",N27=""),"",ABS(N27-H27))</f>
        <v/>
      </c>
      <c r="P27" s="4" t="str">
        <f aca="false">IF(J27="","",ABS(J27))</f>
        <v/>
      </c>
      <c r="Q27" s="16"/>
      <c r="R27" s="16"/>
      <c r="S27" s="16"/>
      <c r="T27" s="16"/>
    </row>
    <row r="28" customFormat="false" ht="15" hidden="false" customHeight="false" outlineLevel="0" collapsed="false">
      <c r="A28" s="16"/>
      <c r="B28" s="16"/>
      <c r="C28" s="16"/>
      <c r="D28" s="16"/>
      <c r="E28" s="16"/>
      <c r="F28" s="16"/>
      <c r="G28" s="16"/>
      <c r="H28" s="16"/>
      <c r="I28" s="16"/>
      <c r="J28" s="4" t="str">
        <f aca="false">IF(OR(H28="",I28=""),"",I28-H28)</f>
        <v/>
      </c>
      <c r="K28" s="4" t="str">
        <f aca="false">IF(J28="","",IF(ABS(J28)&lt;=1,"Yes","No"))</f>
        <v/>
      </c>
      <c r="L28" s="4" t="str">
        <f aca="false">IF(J28="","",IF(ABS(J28)&lt;=2,"Yes","No"))</f>
        <v/>
      </c>
      <c r="M28" s="16"/>
      <c r="N28" s="16"/>
      <c r="O28" s="4" t="str">
        <f aca="false">IF(OR(H28="",N28=""),"",ABS(N28-H28))</f>
        <v/>
      </c>
      <c r="P28" s="4" t="str">
        <f aca="false">IF(J28="","",ABS(J28))</f>
        <v/>
      </c>
      <c r="Q28" s="16"/>
      <c r="R28" s="16"/>
      <c r="S28" s="16"/>
      <c r="T28" s="16"/>
    </row>
    <row r="29" customFormat="false" ht="15" hidden="false" customHeight="false" outlineLevel="0" collapsed="false">
      <c r="A29" s="16"/>
      <c r="B29" s="16"/>
      <c r="C29" s="16"/>
      <c r="D29" s="16"/>
      <c r="E29" s="16"/>
      <c r="F29" s="16"/>
      <c r="G29" s="16"/>
      <c r="H29" s="16"/>
      <c r="I29" s="16"/>
      <c r="J29" s="4" t="str">
        <f aca="false">IF(OR(H29="",I29=""),"",I29-H29)</f>
        <v/>
      </c>
      <c r="K29" s="4" t="str">
        <f aca="false">IF(J29="","",IF(ABS(J29)&lt;=1,"Yes","No"))</f>
        <v/>
      </c>
      <c r="L29" s="4" t="str">
        <f aca="false">IF(J29="","",IF(ABS(J29)&lt;=2,"Yes","No"))</f>
        <v/>
      </c>
      <c r="M29" s="16"/>
      <c r="N29" s="16"/>
      <c r="O29" s="4" t="str">
        <f aca="false">IF(OR(H29="",N29=""),"",ABS(N29-H29))</f>
        <v/>
      </c>
      <c r="P29" s="4" t="str">
        <f aca="false">IF(J29="","",ABS(J29))</f>
        <v/>
      </c>
      <c r="Q29" s="16"/>
      <c r="R29" s="16"/>
      <c r="S29" s="16"/>
      <c r="T29" s="16"/>
    </row>
    <row r="30" customFormat="false" ht="15" hidden="false" customHeight="false" outlineLevel="0" collapsed="false">
      <c r="A30" s="16"/>
      <c r="B30" s="16"/>
      <c r="C30" s="16"/>
      <c r="D30" s="16"/>
      <c r="E30" s="16"/>
      <c r="F30" s="16"/>
      <c r="G30" s="16"/>
      <c r="H30" s="16"/>
      <c r="I30" s="16"/>
      <c r="J30" s="4" t="str">
        <f aca="false">IF(OR(H30="",I30=""),"",I30-H30)</f>
        <v/>
      </c>
      <c r="K30" s="4" t="str">
        <f aca="false">IF(J30="","",IF(ABS(J30)&lt;=1,"Yes","No"))</f>
        <v/>
      </c>
      <c r="L30" s="4" t="str">
        <f aca="false">IF(J30="","",IF(ABS(J30)&lt;=2,"Yes","No"))</f>
        <v/>
      </c>
      <c r="M30" s="16"/>
      <c r="N30" s="16"/>
      <c r="O30" s="4" t="str">
        <f aca="false">IF(OR(H30="",N30=""),"",ABS(N30-H30))</f>
        <v/>
      </c>
      <c r="P30" s="4" t="str">
        <f aca="false">IF(J30="","",ABS(J30))</f>
        <v/>
      </c>
      <c r="Q30" s="16"/>
      <c r="R30" s="16"/>
      <c r="S30" s="16"/>
      <c r="T30" s="16"/>
    </row>
    <row r="31" customFormat="false" ht="15" hidden="false" customHeight="false" outlineLevel="0" collapsed="false">
      <c r="A31" s="16"/>
      <c r="B31" s="16"/>
      <c r="C31" s="16"/>
      <c r="D31" s="16"/>
      <c r="E31" s="16"/>
      <c r="F31" s="16"/>
      <c r="G31" s="16"/>
      <c r="H31" s="16"/>
      <c r="I31" s="16"/>
      <c r="J31" s="4" t="str">
        <f aca="false">IF(OR(H31="",I31=""),"",I31-H31)</f>
        <v/>
      </c>
      <c r="K31" s="4" t="str">
        <f aca="false">IF(J31="","",IF(ABS(J31)&lt;=1,"Yes","No"))</f>
        <v/>
      </c>
      <c r="L31" s="4" t="str">
        <f aca="false">IF(J31="","",IF(ABS(J31)&lt;=2,"Yes","No"))</f>
        <v/>
      </c>
      <c r="M31" s="16"/>
      <c r="N31" s="16"/>
      <c r="O31" s="4" t="str">
        <f aca="false">IF(OR(H31="",N31=""),"",ABS(N31-H31))</f>
        <v/>
      </c>
      <c r="P31" s="4" t="str">
        <f aca="false">IF(J31="","",ABS(J31))</f>
        <v/>
      </c>
      <c r="Q31" s="16"/>
      <c r="R31" s="16"/>
      <c r="S31" s="16"/>
      <c r="T31" s="16"/>
    </row>
    <row r="32" customFormat="false" ht="15" hidden="false" customHeight="false" outlineLevel="0" collapsed="false">
      <c r="A32" s="16"/>
      <c r="B32" s="16"/>
      <c r="C32" s="16"/>
      <c r="D32" s="16"/>
      <c r="E32" s="16"/>
      <c r="F32" s="16"/>
      <c r="G32" s="16"/>
      <c r="H32" s="16"/>
      <c r="I32" s="16"/>
      <c r="J32" s="4" t="str">
        <f aca="false">IF(OR(H32="",I32=""),"",I32-H32)</f>
        <v/>
      </c>
      <c r="K32" s="4" t="str">
        <f aca="false">IF(J32="","",IF(ABS(J32)&lt;=1,"Yes","No"))</f>
        <v/>
      </c>
      <c r="L32" s="4" t="str">
        <f aca="false">IF(J32="","",IF(ABS(J32)&lt;=2,"Yes","No"))</f>
        <v/>
      </c>
      <c r="M32" s="16"/>
      <c r="N32" s="16"/>
      <c r="O32" s="4" t="str">
        <f aca="false">IF(OR(H32="",N32=""),"",ABS(N32-H32))</f>
        <v/>
      </c>
      <c r="P32" s="4" t="str">
        <f aca="false">IF(J32="","",ABS(J32))</f>
        <v/>
      </c>
      <c r="Q32" s="16"/>
      <c r="R32" s="16"/>
      <c r="S32" s="16"/>
      <c r="T32" s="16"/>
    </row>
    <row r="33" customFormat="false" ht="15" hidden="false" customHeight="false" outlineLevel="0" collapsed="false">
      <c r="A33" s="16"/>
      <c r="B33" s="16"/>
      <c r="C33" s="16"/>
      <c r="D33" s="16"/>
      <c r="E33" s="16"/>
      <c r="F33" s="16"/>
      <c r="G33" s="16"/>
      <c r="H33" s="16"/>
      <c r="I33" s="16"/>
      <c r="J33" s="4" t="str">
        <f aca="false">IF(OR(H33="",I33=""),"",I33-H33)</f>
        <v/>
      </c>
      <c r="K33" s="4" t="str">
        <f aca="false">IF(J33="","",IF(ABS(J33)&lt;=1,"Yes","No"))</f>
        <v/>
      </c>
      <c r="L33" s="4" t="str">
        <f aca="false">IF(J33="","",IF(ABS(J33)&lt;=2,"Yes","No"))</f>
        <v/>
      </c>
      <c r="M33" s="16"/>
      <c r="N33" s="16"/>
      <c r="O33" s="4" t="str">
        <f aca="false">IF(OR(H33="",N33=""),"",ABS(N33-H33))</f>
        <v/>
      </c>
      <c r="P33" s="4" t="str">
        <f aca="false">IF(J33="","",ABS(J33))</f>
        <v/>
      </c>
      <c r="Q33" s="16"/>
      <c r="R33" s="16"/>
      <c r="S33" s="16"/>
      <c r="T33" s="16"/>
    </row>
    <row r="34" customFormat="false" ht="15" hidden="false" customHeight="false" outlineLevel="0" collapsed="false">
      <c r="A34" s="16"/>
      <c r="B34" s="16"/>
      <c r="C34" s="16"/>
      <c r="D34" s="16"/>
      <c r="E34" s="16"/>
      <c r="F34" s="16"/>
      <c r="G34" s="16"/>
      <c r="H34" s="16"/>
      <c r="I34" s="16"/>
      <c r="J34" s="4" t="str">
        <f aca="false">IF(OR(H34="",I34=""),"",I34-H34)</f>
        <v/>
      </c>
      <c r="K34" s="4" t="str">
        <f aca="false">IF(J34="","",IF(ABS(J34)&lt;=1,"Yes","No"))</f>
        <v/>
      </c>
      <c r="L34" s="4" t="str">
        <f aca="false">IF(J34="","",IF(ABS(J34)&lt;=2,"Yes","No"))</f>
        <v/>
      </c>
      <c r="M34" s="16"/>
      <c r="N34" s="16"/>
      <c r="O34" s="4" t="str">
        <f aca="false">IF(OR(H34="",N34=""),"",ABS(N34-H34))</f>
        <v/>
      </c>
      <c r="P34" s="4" t="str">
        <f aca="false">IF(J34="","",ABS(J34))</f>
        <v/>
      </c>
      <c r="Q34" s="16"/>
      <c r="R34" s="16"/>
      <c r="S34" s="16"/>
      <c r="T34" s="16"/>
    </row>
    <row r="35" customFormat="false" ht="15" hidden="false" customHeight="false" outlineLevel="0" collapsed="false">
      <c r="A35" s="16"/>
      <c r="B35" s="16"/>
      <c r="C35" s="16"/>
      <c r="D35" s="16"/>
      <c r="E35" s="16"/>
      <c r="F35" s="16"/>
      <c r="G35" s="16"/>
      <c r="H35" s="16"/>
      <c r="I35" s="16"/>
      <c r="J35" s="4" t="str">
        <f aca="false">IF(OR(H35="",I35=""),"",I35-H35)</f>
        <v/>
      </c>
      <c r="K35" s="4" t="str">
        <f aca="false">IF(J35="","",IF(ABS(J35)&lt;=1,"Yes","No"))</f>
        <v/>
      </c>
      <c r="L35" s="4" t="str">
        <f aca="false">IF(J35="","",IF(ABS(J35)&lt;=2,"Yes","No"))</f>
        <v/>
      </c>
      <c r="M35" s="16"/>
      <c r="N35" s="16"/>
      <c r="O35" s="4" t="str">
        <f aca="false">IF(OR(H35="",N35=""),"",ABS(N35-H35))</f>
        <v/>
      </c>
      <c r="P35" s="4" t="str">
        <f aca="false">IF(J35="","",ABS(J35))</f>
        <v/>
      </c>
      <c r="Q35" s="16"/>
      <c r="R35" s="16"/>
      <c r="S35" s="16"/>
      <c r="T35" s="16"/>
    </row>
    <row r="36" customFormat="false" ht="15" hidden="false" customHeight="false" outlineLevel="0" collapsed="false">
      <c r="A36" s="16"/>
      <c r="B36" s="16"/>
      <c r="C36" s="16"/>
      <c r="D36" s="16"/>
      <c r="E36" s="16"/>
      <c r="F36" s="16"/>
      <c r="G36" s="16"/>
      <c r="H36" s="16"/>
      <c r="I36" s="16"/>
      <c r="J36" s="4" t="str">
        <f aca="false">IF(OR(H36="",I36=""),"",I36-H36)</f>
        <v/>
      </c>
      <c r="K36" s="4" t="str">
        <f aca="false">IF(J36="","",IF(ABS(J36)&lt;=1,"Yes","No"))</f>
        <v/>
      </c>
      <c r="L36" s="4" t="str">
        <f aca="false">IF(J36="","",IF(ABS(J36)&lt;=2,"Yes","No"))</f>
        <v/>
      </c>
      <c r="M36" s="16"/>
      <c r="N36" s="16"/>
      <c r="O36" s="4" t="str">
        <f aca="false">IF(OR(H36="",N36=""),"",ABS(N36-H36))</f>
        <v/>
      </c>
      <c r="P36" s="4" t="str">
        <f aca="false">IF(J36="","",ABS(J36))</f>
        <v/>
      </c>
      <c r="Q36" s="16"/>
      <c r="R36" s="16"/>
      <c r="S36" s="16"/>
      <c r="T36" s="16"/>
    </row>
    <row r="37" customFormat="false" ht="15" hidden="false" customHeight="false" outlineLevel="0" collapsed="false">
      <c r="A37" s="16"/>
      <c r="B37" s="16"/>
      <c r="C37" s="16"/>
      <c r="D37" s="16"/>
      <c r="E37" s="16"/>
      <c r="F37" s="16"/>
      <c r="G37" s="16"/>
      <c r="H37" s="16"/>
      <c r="I37" s="16"/>
      <c r="J37" s="4" t="str">
        <f aca="false">IF(OR(H37="",I37=""),"",I37-H37)</f>
        <v/>
      </c>
      <c r="K37" s="4" t="str">
        <f aca="false">IF(J37="","",IF(ABS(J37)&lt;=1,"Yes","No"))</f>
        <v/>
      </c>
      <c r="L37" s="4" t="str">
        <f aca="false">IF(J37="","",IF(ABS(J37)&lt;=2,"Yes","No"))</f>
        <v/>
      </c>
      <c r="M37" s="16"/>
      <c r="N37" s="16"/>
      <c r="O37" s="4" t="str">
        <f aca="false">IF(OR(H37="",N37=""),"",ABS(N37-H37))</f>
        <v/>
      </c>
      <c r="P37" s="4" t="str">
        <f aca="false">IF(J37="","",ABS(J37))</f>
        <v/>
      </c>
      <c r="Q37" s="16"/>
      <c r="R37" s="16"/>
      <c r="S37" s="16"/>
      <c r="T37" s="16"/>
    </row>
    <row r="38" customFormat="false" ht="15" hidden="false" customHeight="false" outlineLevel="0" collapsed="false">
      <c r="A38" s="16"/>
      <c r="B38" s="16"/>
      <c r="C38" s="16"/>
      <c r="D38" s="16"/>
      <c r="E38" s="16"/>
      <c r="F38" s="16"/>
      <c r="G38" s="16"/>
      <c r="H38" s="16"/>
      <c r="I38" s="16"/>
      <c r="J38" s="4" t="str">
        <f aca="false">IF(OR(H38="",I38=""),"",I38-H38)</f>
        <v/>
      </c>
      <c r="K38" s="4" t="str">
        <f aca="false">IF(J38="","",IF(ABS(J38)&lt;=1,"Yes","No"))</f>
        <v/>
      </c>
      <c r="L38" s="4" t="str">
        <f aca="false">IF(J38="","",IF(ABS(J38)&lt;=2,"Yes","No"))</f>
        <v/>
      </c>
      <c r="M38" s="16"/>
      <c r="N38" s="16"/>
      <c r="O38" s="4" t="str">
        <f aca="false">IF(OR(H38="",N38=""),"",ABS(N38-H38))</f>
        <v/>
      </c>
      <c r="P38" s="4" t="str">
        <f aca="false">IF(J38="","",ABS(J38))</f>
        <v/>
      </c>
      <c r="Q38" s="16"/>
      <c r="R38" s="16"/>
      <c r="S38" s="16"/>
      <c r="T38" s="16"/>
    </row>
    <row r="39" customFormat="false" ht="15" hidden="false" customHeight="false" outlineLevel="0" collapsed="false">
      <c r="A39" s="16"/>
      <c r="B39" s="16"/>
      <c r="C39" s="16"/>
      <c r="D39" s="16"/>
      <c r="E39" s="16"/>
      <c r="F39" s="16"/>
      <c r="G39" s="16"/>
      <c r="H39" s="16"/>
      <c r="I39" s="16"/>
      <c r="J39" s="4" t="str">
        <f aca="false">IF(OR(H39="",I39=""),"",I39-H39)</f>
        <v/>
      </c>
      <c r="K39" s="4" t="str">
        <f aca="false">IF(J39="","",IF(ABS(J39)&lt;=1,"Yes","No"))</f>
        <v/>
      </c>
      <c r="L39" s="4" t="str">
        <f aca="false">IF(J39="","",IF(ABS(J39)&lt;=2,"Yes","No"))</f>
        <v/>
      </c>
      <c r="M39" s="16"/>
      <c r="N39" s="16"/>
      <c r="O39" s="4" t="str">
        <f aca="false">IF(OR(H39="",N39=""),"",ABS(N39-H39))</f>
        <v/>
      </c>
      <c r="P39" s="4" t="str">
        <f aca="false">IF(J39="","",ABS(J39))</f>
        <v/>
      </c>
      <c r="Q39" s="16"/>
      <c r="R39" s="16"/>
      <c r="S39" s="16"/>
      <c r="T39" s="16"/>
    </row>
    <row r="40" customFormat="false" ht="15" hidden="false" customHeight="false" outlineLevel="0" collapsed="false">
      <c r="A40" s="16"/>
      <c r="B40" s="16"/>
      <c r="C40" s="16"/>
      <c r="D40" s="16"/>
      <c r="E40" s="16"/>
      <c r="F40" s="16"/>
      <c r="G40" s="16"/>
      <c r="H40" s="16"/>
      <c r="I40" s="16"/>
      <c r="J40" s="4" t="str">
        <f aca="false">IF(OR(H40="",I40=""),"",I40-H40)</f>
        <v/>
      </c>
      <c r="K40" s="4" t="str">
        <f aca="false">IF(J40="","",IF(ABS(J40)&lt;=1,"Yes","No"))</f>
        <v/>
      </c>
      <c r="L40" s="4" t="str">
        <f aca="false">IF(J40="","",IF(ABS(J40)&lt;=2,"Yes","No"))</f>
        <v/>
      </c>
      <c r="M40" s="16"/>
      <c r="N40" s="16"/>
      <c r="O40" s="4" t="str">
        <f aca="false">IF(OR(H40="",N40=""),"",ABS(N40-H40))</f>
        <v/>
      </c>
      <c r="P40" s="4" t="str">
        <f aca="false">IF(J40="","",ABS(J40))</f>
        <v/>
      </c>
      <c r="Q40" s="16"/>
      <c r="R40" s="16"/>
      <c r="S40" s="16"/>
      <c r="T40" s="16"/>
    </row>
    <row r="41" customFormat="false" ht="15" hidden="false" customHeight="false" outlineLevel="0" collapsed="false">
      <c r="A41" s="16"/>
      <c r="B41" s="16"/>
      <c r="C41" s="16"/>
      <c r="D41" s="16"/>
      <c r="E41" s="16"/>
      <c r="F41" s="16"/>
      <c r="G41" s="16"/>
      <c r="H41" s="16"/>
      <c r="I41" s="16"/>
      <c r="J41" s="4" t="str">
        <f aca="false">IF(OR(H41="",I41=""),"",I41-H41)</f>
        <v/>
      </c>
      <c r="K41" s="4" t="str">
        <f aca="false">IF(J41="","",IF(ABS(J41)&lt;=1,"Yes","No"))</f>
        <v/>
      </c>
      <c r="L41" s="4" t="str">
        <f aca="false">IF(J41="","",IF(ABS(J41)&lt;=2,"Yes","No"))</f>
        <v/>
      </c>
      <c r="M41" s="16"/>
      <c r="N41" s="16"/>
      <c r="O41" s="4" t="str">
        <f aca="false">IF(OR(H41="",N41=""),"",ABS(N41-H41))</f>
        <v/>
      </c>
      <c r="P41" s="4" t="str">
        <f aca="false">IF(J41="","",ABS(J41))</f>
        <v/>
      </c>
      <c r="Q41" s="16"/>
      <c r="R41" s="16"/>
      <c r="S41" s="16"/>
      <c r="T41" s="16"/>
    </row>
    <row r="42" customFormat="false" ht="15" hidden="false" customHeight="false" outlineLevel="0" collapsed="false">
      <c r="A42" s="16"/>
      <c r="B42" s="16"/>
      <c r="C42" s="16"/>
      <c r="D42" s="16"/>
      <c r="E42" s="16"/>
      <c r="F42" s="16"/>
      <c r="G42" s="16"/>
      <c r="H42" s="16"/>
      <c r="I42" s="16"/>
      <c r="J42" s="4" t="str">
        <f aca="false">IF(OR(H42="",I42=""),"",I42-H42)</f>
        <v/>
      </c>
      <c r="K42" s="4" t="str">
        <f aca="false">IF(J42="","",IF(ABS(J42)&lt;=1,"Yes","No"))</f>
        <v/>
      </c>
      <c r="L42" s="4" t="str">
        <f aca="false">IF(J42="","",IF(ABS(J42)&lt;=2,"Yes","No"))</f>
        <v/>
      </c>
      <c r="M42" s="16"/>
      <c r="N42" s="16"/>
      <c r="O42" s="4" t="str">
        <f aca="false">IF(OR(H42="",N42=""),"",ABS(N42-H42))</f>
        <v/>
      </c>
      <c r="P42" s="4" t="str">
        <f aca="false">IF(J42="","",ABS(J42))</f>
        <v/>
      </c>
      <c r="Q42" s="16"/>
      <c r="R42" s="16"/>
      <c r="S42" s="16"/>
      <c r="T42" s="16"/>
    </row>
    <row r="43" customFormat="false" ht="15" hidden="false" customHeight="false" outlineLevel="0" collapsed="false">
      <c r="A43" s="16"/>
      <c r="B43" s="16"/>
      <c r="C43" s="16"/>
      <c r="D43" s="16"/>
      <c r="E43" s="16"/>
      <c r="F43" s="16"/>
      <c r="G43" s="16"/>
      <c r="H43" s="16"/>
      <c r="I43" s="16"/>
      <c r="J43" s="4" t="str">
        <f aca="false">IF(OR(H43="",I43=""),"",I43-H43)</f>
        <v/>
      </c>
      <c r="K43" s="4" t="str">
        <f aca="false">IF(J43="","",IF(ABS(J43)&lt;=1,"Yes","No"))</f>
        <v/>
      </c>
      <c r="L43" s="4" t="str">
        <f aca="false">IF(J43="","",IF(ABS(J43)&lt;=2,"Yes","No"))</f>
        <v/>
      </c>
      <c r="M43" s="16"/>
      <c r="N43" s="16"/>
      <c r="O43" s="4" t="str">
        <f aca="false">IF(OR(H43="",N43=""),"",ABS(N43-H43))</f>
        <v/>
      </c>
      <c r="P43" s="4" t="str">
        <f aca="false">IF(J43="","",ABS(J43))</f>
        <v/>
      </c>
      <c r="Q43" s="16"/>
      <c r="R43" s="16"/>
      <c r="S43" s="16"/>
      <c r="T43" s="16"/>
    </row>
    <row r="44" customFormat="false" ht="15" hidden="false" customHeight="false" outlineLevel="0" collapsed="false">
      <c r="A44" s="16"/>
      <c r="B44" s="16"/>
      <c r="C44" s="16"/>
      <c r="D44" s="16"/>
      <c r="E44" s="16"/>
      <c r="F44" s="16"/>
      <c r="G44" s="16"/>
      <c r="H44" s="16"/>
      <c r="I44" s="16"/>
      <c r="J44" s="4" t="str">
        <f aca="false">IF(OR(H44="",I44=""),"",I44-H44)</f>
        <v/>
      </c>
      <c r="K44" s="4" t="str">
        <f aca="false">IF(J44="","",IF(ABS(J44)&lt;=1,"Yes","No"))</f>
        <v/>
      </c>
      <c r="L44" s="4" t="str">
        <f aca="false">IF(J44="","",IF(ABS(J44)&lt;=2,"Yes","No"))</f>
        <v/>
      </c>
      <c r="M44" s="16"/>
      <c r="N44" s="16"/>
      <c r="O44" s="4" t="str">
        <f aca="false">IF(OR(H44="",N44=""),"",ABS(N44-H44))</f>
        <v/>
      </c>
      <c r="P44" s="4" t="str">
        <f aca="false">IF(J44="","",ABS(J44))</f>
        <v/>
      </c>
      <c r="Q44" s="16"/>
      <c r="R44" s="16"/>
      <c r="S44" s="16"/>
      <c r="T44" s="16"/>
    </row>
    <row r="45" customFormat="false" ht="15" hidden="false" customHeight="false" outlineLevel="0" collapsed="false">
      <c r="A45" s="16"/>
      <c r="B45" s="16"/>
      <c r="C45" s="16"/>
      <c r="D45" s="16"/>
      <c r="E45" s="16"/>
      <c r="F45" s="16"/>
      <c r="G45" s="16"/>
      <c r="H45" s="16"/>
      <c r="I45" s="16"/>
      <c r="J45" s="4" t="str">
        <f aca="false">IF(OR(H45="",I45=""),"",I45-H45)</f>
        <v/>
      </c>
      <c r="K45" s="4" t="str">
        <f aca="false">IF(J45="","",IF(ABS(J45)&lt;=1,"Yes","No"))</f>
        <v/>
      </c>
      <c r="L45" s="4" t="str">
        <f aca="false">IF(J45="","",IF(ABS(J45)&lt;=2,"Yes","No"))</f>
        <v/>
      </c>
      <c r="M45" s="16"/>
      <c r="N45" s="16"/>
      <c r="O45" s="4" t="str">
        <f aca="false">IF(OR(H45="",N45=""),"",ABS(N45-H45))</f>
        <v/>
      </c>
      <c r="P45" s="4" t="str">
        <f aca="false">IF(J45="","",ABS(J45))</f>
        <v/>
      </c>
      <c r="Q45" s="16"/>
      <c r="R45" s="16"/>
      <c r="S45" s="16"/>
      <c r="T45" s="16"/>
    </row>
    <row r="46" customFormat="false" ht="15" hidden="false" customHeight="false" outlineLevel="0" collapsed="false">
      <c r="A46" s="16"/>
      <c r="B46" s="16"/>
      <c r="C46" s="16"/>
      <c r="D46" s="16"/>
      <c r="E46" s="16"/>
      <c r="F46" s="16"/>
      <c r="G46" s="16"/>
      <c r="H46" s="16"/>
      <c r="I46" s="16"/>
      <c r="J46" s="4" t="str">
        <f aca="false">IF(OR(H46="",I46=""),"",I46-H46)</f>
        <v/>
      </c>
      <c r="K46" s="4" t="str">
        <f aca="false">IF(J46="","",IF(ABS(J46)&lt;=1,"Yes","No"))</f>
        <v/>
      </c>
      <c r="L46" s="4" t="str">
        <f aca="false">IF(J46="","",IF(ABS(J46)&lt;=2,"Yes","No"))</f>
        <v/>
      </c>
      <c r="M46" s="16"/>
      <c r="N46" s="16"/>
      <c r="O46" s="4" t="str">
        <f aca="false">IF(OR(H46="",N46=""),"",ABS(N46-H46))</f>
        <v/>
      </c>
      <c r="P46" s="4" t="str">
        <f aca="false">IF(J46="","",ABS(J46))</f>
        <v/>
      </c>
      <c r="Q46" s="16"/>
      <c r="R46" s="16"/>
      <c r="S46" s="16"/>
      <c r="T46" s="16"/>
    </row>
    <row r="47" customFormat="false" ht="15" hidden="false" customHeight="false" outlineLevel="0" collapsed="false">
      <c r="A47" s="16"/>
      <c r="B47" s="16"/>
      <c r="C47" s="16"/>
      <c r="D47" s="16"/>
      <c r="E47" s="16"/>
      <c r="F47" s="16"/>
      <c r="G47" s="16"/>
      <c r="H47" s="16"/>
      <c r="I47" s="16"/>
      <c r="J47" s="4" t="str">
        <f aca="false">IF(OR(H47="",I47=""),"",I47-H47)</f>
        <v/>
      </c>
      <c r="K47" s="4" t="str">
        <f aca="false">IF(J47="","",IF(ABS(J47)&lt;=1,"Yes","No"))</f>
        <v/>
      </c>
      <c r="L47" s="4" t="str">
        <f aca="false">IF(J47="","",IF(ABS(J47)&lt;=2,"Yes","No"))</f>
        <v/>
      </c>
      <c r="M47" s="16"/>
      <c r="N47" s="16"/>
      <c r="O47" s="4" t="str">
        <f aca="false">IF(OR(H47="",N47=""),"",ABS(N47-H47))</f>
        <v/>
      </c>
      <c r="P47" s="4" t="str">
        <f aca="false">IF(J47="","",ABS(J47))</f>
        <v/>
      </c>
      <c r="Q47" s="16"/>
      <c r="R47" s="16"/>
      <c r="S47" s="16"/>
      <c r="T47" s="16"/>
    </row>
    <row r="48" customFormat="false" ht="15" hidden="false" customHeight="false" outlineLevel="0" collapsed="false">
      <c r="A48" s="16"/>
      <c r="B48" s="16"/>
      <c r="C48" s="16"/>
      <c r="D48" s="16"/>
      <c r="E48" s="16"/>
      <c r="F48" s="16"/>
      <c r="G48" s="16"/>
      <c r="H48" s="16"/>
      <c r="I48" s="16"/>
      <c r="J48" s="4" t="str">
        <f aca="false">IF(OR(H48="",I48=""),"",I48-H48)</f>
        <v/>
      </c>
      <c r="K48" s="4" t="str">
        <f aca="false">IF(J48="","",IF(ABS(J48)&lt;=1,"Yes","No"))</f>
        <v/>
      </c>
      <c r="L48" s="4" t="str">
        <f aca="false">IF(J48="","",IF(ABS(J48)&lt;=2,"Yes","No"))</f>
        <v/>
      </c>
      <c r="M48" s="16"/>
      <c r="N48" s="16"/>
      <c r="O48" s="4" t="str">
        <f aca="false">IF(OR(H48="",N48=""),"",ABS(N48-H48))</f>
        <v/>
      </c>
      <c r="P48" s="4" t="str">
        <f aca="false">IF(J48="","",ABS(J48))</f>
        <v/>
      </c>
      <c r="Q48" s="16"/>
      <c r="R48" s="16"/>
      <c r="S48" s="16"/>
      <c r="T48" s="16"/>
    </row>
    <row r="49" customFormat="false" ht="15" hidden="false" customHeight="false" outlineLevel="0" collapsed="false">
      <c r="A49" s="16"/>
      <c r="B49" s="16"/>
      <c r="C49" s="16"/>
      <c r="D49" s="16"/>
      <c r="E49" s="16"/>
      <c r="F49" s="16"/>
      <c r="G49" s="16"/>
      <c r="H49" s="16"/>
      <c r="I49" s="16"/>
      <c r="J49" s="4" t="str">
        <f aca="false">IF(OR(H49="",I49=""),"",I49-H49)</f>
        <v/>
      </c>
      <c r="K49" s="4" t="str">
        <f aca="false">IF(J49="","",IF(ABS(J49)&lt;=1,"Yes","No"))</f>
        <v/>
      </c>
      <c r="L49" s="4" t="str">
        <f aca="false">IF(J49="","",IF(ABS(J49)&lt;=2,"Yes","No"))</f>
        <v/>
      </c>
      <c r="M49" s="16"/>
      <c r="N49" s="16"/>
      <c r="O49" s="4" t="str">
        <f aca="false">IF(OR(H49="",N49=""),"",ABS(N49-H49))</f>
        <v/>
      </c>
      <c r="P49" s="4" t="str">
        <f aca="false">IF(J49="","",ABS(J49))</f>
        <v/>
      </c>
      <c r="Q49" s="16"/>
      <c r="R49" s="16"/>
      <c r="S49" s="16"/>
      <c r="T49" s="16"/>
    </row>
    <row r="50" customFormat="false" ht="15" hidden="false" customHeight="false" outlineLevel="0" collapsed="false">
      <c r="A50" s="16"/>
      <c r="B50" s="16"/>
      <c r="C50" s="16"/>
      <c r="D50" s="16"/>
      <c r="E50" s="16"/>
      <c r="F50" s="16"/>
      <c r="G50" s="16"/>
      <c r="H50" s="16"/>
      <c r="I50" s="16"/>
      <c r="J50" s="4" t="str">
        <f aca="false">IF(OR(H50="",I50=""),"",I50-H50)</f>
        <v/>
      </c>
      <c r="K50" s="4" t="str">
        <f aca="false">IF(J50="","",IF(ABS(J50)&lt;=1,"Yes","No"))</f>
        <v/>
      </c>
      <c r="L50" s="4" t="str">
        <f aca="false">IF(J50="","",IF(ABS(J50)&lt;=2,"Yes","No"))</f>
        <v/>
      </c>
      <c r="M50" s="16"/>
      <c r="N50" s="16"/>
      <c r="O50" s="4" t="str">
        <f aca="false">IF(OR(H50="",N50=""),"",ABS(N50-H50))</f>
        <v/>
      </c>
      <c r="P50" s="4" t="str">
        <f aca="false">IF(J50="","",ABS(J50))</f>
        <v/>
      </c>
      <c r="Q50" s="16"/>
      <c r="R50" s="16"/>
      <c r="S50" s="16"/>
      <c r="T50" s="16"/>
    </row>
    <row r="51" customFormat="false" ht="15" hidden="false" customHeight="false" outlineLevel="0" collapsed="false">
      <c r="A51" s="16"/>
      <c r="B51" s="16"/>
      <c r="C51" s="16"/>
      <c r="D51" s="16"/>
      <c r="E51" s="16"/>
      <c r="F51" s="16"/>
      <c r="G51" s="16"/>
      <c r="H51" s="16"/>
      <c r="I51" s="16"/>
      <c r="J51" s="4" t="str">
        <f aca="false">IF(OR(H51="",I51=""),"",I51-H51)</f>
        <v/>
      </c>
      <c r="K51" s="4" t="str">
        <f aca="false">IF(J51="","",IF(ABS(J51)&lt;=1,"Yes","No"))</f>
        <v/>
      </c>
      <c r="L51" s="4" t="str">
        <f aca="false">IF(J51="","",IF(ABS(J51)&lt;=2,"Yes","No"))</f>
        <v/>
      </c>
      <c r="M51" s="16"/>
      <c r="N51" s="16"/>
      <c r="O51" s="4" t="str">
        <f aca="false">IF(OR(H51="",N51=""),"",ABS(N51-H51))</f>
        <v/>
      </c>
      <c r="P51" s="4" t="str">
        <f aca="false">IF(J51="","",ABS(J51))</f>
        <v/>
      </c>
      <c r="Q51" s="16"/>
      <c r="R51" s="16"/>
      <c r="S51" s="16"/>
      <c r="T51" s="16"/>
    </row>
    <row r="52" customFormat="false" ht="15" hidden="false" customHeight="false" outlineLevel="0" collapsed="false">
      <c r="A52" s="16"/>
      <c r="B52" s="16"/>
      <c r="C52" s="16"/>
      <c r="D52" s="16"/>
      <c r="E52" s="16"/>
      <c r="F52" s="16"/>
      <c r="G52" s="16"/>
      <c r="H52" s="16"/>
      <c r="I52" s="16"/>
      <c r="J52" s="4" t="str">
        <f aca="false">IF(OR(H52="",I52=""),"",I52-H52)</f>
        <v/>
      </c>
      <c r="K52" s="4" t="str">
        <f aca="false">IF(J52="","",IF(ABS(J52)&lt;=1,"Yes","No"))</f>
        <v/>
      </c>
      <c r="L52" s="4" t="str">
        <f aca="false">IF(J52="","",IF(ABS(J52)&lt;=2,"Yes","No"))</f>
        <v/>
      </c>
      <c r="M52" s="16"/>
      <c r="N52" s="16"/>
      <c r="O52" s="4" t="str">
        <f aca="false">IF(OR(H52="",N52=""),"",ABS(N52-H52))</f>
        <v/>
      </c>
      <c r="P52" s="4" t="str">
        <f aca="false">IF(J52="","",ABS(J52))</f>
        <v/>
      </c>
      <c r="Q52" s="16"/>
      <c r="R52" s="16"/>
      <c r="S52" s="16"/>
      <c r="T52" s="16"/>
    </row>
    <row r="53" customFormat="false" ht="15" hidden="false" customHeight="false" outlineLevel="0" collapsed="false">
      <c r="A53" s="16"/>
      <c r="B53" s="16"/>
      <c r="C53" s="16"/>
      <c r="D53" s="16"/>
      <c r="E53" s="16"/>
      <c r="F53" s="16"/>
      <c r="G53" s="16"/>
      <c r="H53" s="16"/>
      <c r="I53" s="16"/>
      <c r="J53" s="4" t="str">
        <f aca="false">IF(OR(H53="",I53=""),"",I53-H53)</f>
        <v/>
      </c>
      <c r="K53" s="4" t="str">
        <f aca="false">IF(J53="","",IF(ABS(J53)&lt;=1,"Yes","No"))</f>
        <v/>
      </c>
      <c r="L53" s="4" t="str">
        <f aca="false">IF(J53="","",IF(ABS(J53)&lt;=2,"Yes","No"))</f>
        <v/>
      </c>
      <c r="M53" s="16"/>
      <c r="N53" s="16"/>
      <c r="O53" s="4" t="str">
        <f aca="false">IF(OR(H53="",N53=""),"",ABS(N53-H53))</f>
        <v/>
      </c>
      <c r="P53" s="4" t="str">
        <f aca="false">IF(J53="","",ABS(J53))</f>
        <v/>
      </c>
      <c r="Q53" s="16"/>
      <c r="R53" s="16"/>
      <c r="S53" s="16"/>
      <c r="T53" s="16"/>
    </row>
    <row r="54" customFormat="false" ht="15" hidden="false" customHeight="false" outlineLevel="0" collapsed="false">
      <c r="A54" s="16"/>
      <c r="B54" s="16"/>
      <c r="C54" s="16"/>
      <c r="D54" s="16"/>
      <c r="E54" s="16"/>
      <c r="F54" s="16"/>
      <c r="G54" s="16"/>
      <c r="H54" s="16"/>
      <c r="I54" s="16"/>
      <c r="J54" s="4" t="str">
        <f aca="false">IF(OR(H54="",I54=""),"",I54-H54)</f>
        <v/>
      </c>
      <c r="K54" s="4" t="str">
        <f aca="false">IF(J54="","",IF(ABS(J54)&lt;=1,"Yes","No"))</f>
        <v/>
      </c>
      <c r="L54" s="4" t="str">
        <f aca="false">IF(J54="","",IF(ABS(J54)&lt;=2,"Yes","No"))</f>
        <v/>
      </c>
      <c r="M54" s="16"/>
      <c r="N54" s="16"/>
      <c r="O54" s="4" t="str">
        <f aca="false">IF(OR(H54="",N54=""),"",ABS(N54-H54))</f>
        <v/>
      </c>
      <c r="P54" s="4" t="str">
        <f aca="false">IF(J54="","",ABS(J54))</f>
        <v/>
      </c>
      <c r="Q54" s="16"/>
      <c r="R54" s="16"/>
      <c r="S54" s="16"/>
      <c r="T54" s="16"/>
    </row>
    <row r="55" customFormat="false" ht="15" hidden="false" customHeight="false" outlineLevel="0" collapsed="false">
      <c r="A55" s="16"/>
      <c r="B55" s="16"/>
      <c r="C55" s="16"/>
      <c r="D55" s="16"/>
      <c r="E55" s="16"/>
      <c r="F55" s="16"/>
      <c r="G55" s="16"/>
      <c r="H55" s="16"/>
      <c r="I55" s="16"/>
      <c r="J55" s="4" t="str">
        <f aca="false">IF(OR(H55="",I55=""),"",I55-H55)</f>
        <v/>
      </c>
      <c r="K55" s="4" t="str">
        <f aca="false">IF(J55="","",IF(ABS(J55)&lt;=1,"Yes","No"))</f>
        <v/>
      </c>
      <c r="L55" s="4" t="str">
        <f aca="false">IF(J55="","",IF(ABS(J55)&lt;=2,"Yes","No"))</f>
        <v/>
      </c>
      <c r="M55" s="16"/>
      <c r="N55" s="16"/>
      <c r="O55" s="4" t="str">
        <f aca="false">IF(OR(H55="",N55=""),"",ABS(N55-H55))</f>
        <v/>
      </c>
      <c r="P55" s="4" t="str">
        <f aca="false">IF(J55="","",ABS(J55))</f>
        <v/>
      </c>
      <c r="Q55" s="16"/>
      <c r="R55" s="16"/>
      <c r="S55" s="16"/>
      <c r="T55" s="16"/>
    </row>
    <row r="56" customFormat="false" ht="15" hidden="false" customHeight="false" outlineLevel="0" collapsed="false">
      <c r="A56" s="16"/>
      <c r="B56" s="16"/>
      <c r="C56" s="16"/>
      <c r="D56" s="16"/>
      <c r="E56" s="16"/>
      <c r="F56" s="16"/>
      <c r="G56" s="16"/>
      <c r="H56" s="16"/>
      <c r="I56" s="16"/>
      <c r="J56" s="4" t="str">
        <f aca="false">IF(OR(H56="",I56=""),"",I56-H56)</f>
        <v/>
      </c>
      <c r="K56" s="4" t="str">
        <f aca="false">IF(J56="","",IF(ABS(J56)&lt;=1,"Yes","No"))</f>
        <v/>
      </c>
      <c r="L56" s="4" t="str">
        <f aca="false">IF(J56="","",IF(ABS(J56)&lt;=2,"Yes","No"))</f>
        <v/>
      </c>
      <c r="M56" s="16"/>
      <c r="N56" s="16"/>
      <c r="O56" s="4" t="str">
        <f aca="false">IF(OR(H56="",N56=""),"",ABS(N56-H56))</f>
        <v/>
      </c>
      <c r="P56" s="4" t="str">
        <f aca="false">IF(J56="","",ABS(J56))</f>
        <v/>
      </c>
      <c r="Q56" s="16"/>
      <c r="R56" s="16"/>
      <c r="S56" s="16"/>
      <c r="T56" s="16"/>
    </row>
    <row r="57" customFormat="false" ht="15" hidden="false" customHeight="false" outlineLevel="0" collapsed="false">
      <c r="A57" s="16"/>
      <c r="B57" s="16"/>
      <c r="C57" s="16"/>
      <c r="D57" s="16"/>
      <c r="E57" s="16"/>
      <c r="F57" s="16"/>
      <c r="G57" s="16"/>
      <c r="H57" s="16"/>
      <c r="I57" s="16"/>
      <c r="J57" s="4" t="str">
        <f aca="false">IF(OR(H57="",I57=""),"",I57-H57)</f>
        <v/>
      </c>
      <c r="K57" s="4" t="str">
        <f aca="false">IF(J57="","",IF(ABS(J57)&lt;=1,"Yes","No"))</f>
        <v/>
      </c>
      <c r="L57" s="4" t="str">
        <f aca="false">IF(J57="","",IF(ABS(J57)&lt;=2,"Yes","No"))</f>
        <v/>
      </c>
      <c r="M57" s="16"/>
      <c r="N57" s="16"/>
      <c r="O57" s="4" t="str">
        <f aca="false">IF(OR(H57="",N57=""),"",ABS(N57-H57))</f>
        <v/>
      </c>
      <c r="P57" s="4" t="str">
        <f aca="false">IF(J57="","",ABS(J57))</f>
        <v/>
      </c>
      <c r="Q57" s="16"/>
      <c r="R57" s="16"/>
      <c r="S57" s="16"/>
      <c r="T57" s="16"/>
    </row>
    <row r="58" customFormat="false" ht="15" hidden="false" customHeight="false" outlineLevel="0" collapsed="false">
      <c r="A58" s="16"/>
      <c r="B58" s="16"/>
      <c r="C58" s="16"/>
      <c r="D58" s="16"/>
      <c r="E58" s="16"/>
      <c r="F58" s="16"/>
      <c r="G58" s="16"/>
      <c r="H58" s="16"/>
      <c r="I58" s="16"/>
      <c r="J58" s="4" t="str">
        <f aca="false">IF(OR(H58="",I58=""),"",I58-H58)</f>
        <v/>
      </c>
      <c r="K58" s="4" t="str">
        <f aca="false">IF(J58="","",IF(ABS(J58)&lt;=1,"Yes","No"))</f>
        <v/>
      </c>
      <c r="L58" s="4" t="str">
        <f aca="false">IF(J58="","",IF(ABS(J58)&lt;=2,"Yes","No"))</f>
        <v/>
      </c>
      <c r="M58" s="16"/>
      <c r="N58" s="16"/>
      <c r="O58" s="4" t="str">
        <f aca="false">IF(OR(H58="",N58=""),"",ABS(N58-H58))</f>
        <v/>
      </c>
      <c r="P58" s="4" t="str">
        <f aca="false">IF(J58="","",ABS(J58))</f>
        <v/>
      </c>
      <c r="Q58" s="16"/>
      <c r="R58" s="16"/>
      <c r="S58" s="16"/>
      <c r="T58" s="16"/>
    </row>
    <row r="59" customFormat="false" ht="15" hidden="false" customHeight="false" outlineLevel="0" collapsed="false">
      <c r="A59" s="16"/>
      <c r="B59" s="16"/>
      <c r="C59" s="16"/>
      <c r="D59" s="16"/>
      <c r="E59" s="16"/>
      <c r="F59" s="16"/>
      <c r="G59" s="16"/>
      <c r="H59" s="16"/>
      <c r="I59" s="16"/>
      <c r="J59" s="4" t="str">
        <f aca="false">IF(OR(H59="",I59=""),"",I59-H59)</f>
        <v/>
      </c>
      <c r="K59" s="4" t="str">
        <f aca="false">IF(J59="","",IF(ABS(J59)&lt;=1,"Yes","No"))</f>
        <v/>
      </c>
      <c r="L59" s="4" t="str">
        <f aca="false">IF(J59="","",IF(ABS(J59)&lt;=2,"Yes","No"))</f>
        <v/>
      </c>
      <c r="M59" s="16"/>
      <c r="N59" s="16"/>
      <c r="O59" s="4" t="str">
        <f aca="false">IF(OR(H59="",N59=""),"",ABS(N59-H59))</f>
        <v/>
      </c>
      <c r="P59" s="4" t="str">
        <f aca="false">IF(J59="","",ABS(J59))</f>
        <v/>
      </c>
      <c r="Q59" s="16"/>
      <c r="R59" s="16"/>
      <c r="S59" s="16"/>
      <c r="T59" s="16"/>
    </row>
    <row r="60" customFormat="false" ht="15" hidden="false" customHeight="false" outlineLevel="0" collapsed="false">
      <c r="A60" s="16"/>
      <c r="B60" s="16"/>
      <c r="C60" s="16"/>
      <c r="D60" s="16"/>
      <c r="E60" s="16"/>
      <c r="F60" s="16"/>
      <c r="G60" s="16"/>
      <c r="H60" s="16"/>
      <c r="I60" s="16"/>
      <c r="J60" s="4" t="str">
        <f aca="false">IF(OR(H60="",I60=""),"",I60-H60)</f>
        <v/>
      </c>
      <c r="K60" s="4" t="str">
        <f aca="false">IF(J60="","",IF(ABS(J60)&lt;=1,"Yes","No"))</f>
        <v/>
      </c>
      <c r="L60" s="4" t="str">
        <f aca="false">IF(J60="","",IF(ABS(J60)&lt;=2,"Yes","No"))</f>
        <v/>
      </c>
      <c r="M60" s="16"/>
      <c r="N60" s="16"/>
      <c r="O60" s="4" t="str">
        <f aca="false">IF(OR(H60="",N60=""),"",ABS(N60-H60))</f>
        <v/>
      </c>
      <c r="P60" s="4" t="str">
        <f aca="false">IF(J60="","",ABS(J60))</f>
        <v/>
      </c>
      <c r="Q60" s="16"/>
      <c r="R60" s="16"/>
      <c r="S60" s="16"/>
      <c r="T60" s="16"/>
    </row>
    <row r="61" customFormat="false" ht="15" hidden="false" customHeight="false" outlineLevel="0" collapsed="false">
      <c r="A61" s="16"/>
      <c r="B61" s="16"/>
      <c r="C61" s="16"/>
      <c r="D61" s="16"/>
      <c r="E61" s="16"/>
      <c r="F61" s="16"/>
      <c r="G61" s="16"/>
      <c r="H61" s="16"/>
      <c r="I61" s="16"/>
      <c r="J61" s="4" t="str">
        <f aca="false">IF(OR(H61="",I61=""),"",I61-H61)</f>
        <v/>
      </c>
      <c r="K61" s="4" t="str">
        <f aca="false">IF(J61="","",IF(ABS(J61)&lt;=1,"Yes","No"))</f>
        <v/>
      </c>
      <c r="L61" s="4" t="str">
        <f aca="false">IF(J61="","",IF(ABS(J61)&lt;=2,"Yes","No"))</f>
        <v/>
      </c>
      <c r="M61" s="16"/>
      <c r="N61" s="16"/>
      <c r="O61" s="4" t="str">
        <f aca="false">IF(OR(H61="",N61=""),"",ABS(N61-H61))</f>
        <v/>
      </c>
      <c r="P61" s="4" t="str">
        <f aca="false">IF(J61="","",ABS(J61))</f>
        <v/>
      </c>
      <c r="Q61" s="16"/>
      <c r="R61" s="16"/>
      <c r="S61" s="16"/>
      <c r="T61" s="16"/>
    </row>
    <row r="62" customFormat="false" ht="15" hidden="false" customHeight="false" outlineLevel="0" collapsed="false">
      <c r="A62" s="16"/>
      <c r="B62" s="16"/>
      <c r="C62" s="16"/>
      <c r="D62" s="16"/>
      <c r="E62" s="16"/>
      <c r="F62" s="16"/>
      <c r="G62" s="16"/>
      <c r="H62" s="16"/>
      <c r="I62" s="16"/>
      <c r="J62" s="4" t="str">
        <f aca="false">IF(OR(H62="",I62=""),"",I62-H62)</f>
        <v/>
      </c>
      <c r="K62" s="4" t="str">
        <f aca="false">IF(J62="","",IF(ABS(J62)&lt;=1,"Yes","No"))</f>
        <v/>
      </c>
      <c r="L62" s="4" t="str">
        <f aca="false">IF(J62="","",IF(ABS(J62)&lt;=2,"Yes","No"))</f>
        <v/>
      </c>
      <c r="M62" s="16"/>
      <c r="N62" s="16"/>
      <c r="O62" s="4" t="str">
        <f aca="false">IF(OR(H62="",N62=""),"",ABS(N62-H62))</f>
        <v/>
      </c>
      <c r="P62" s="4" t="str">
        <f aca="false">IF(J62="","",ABS(J62))</f>
        <v/>
      </c>
      <c r="Q62" s="16"/>
      <c r="R62" s="16"/>
      <c r="S62" s="16"/>
      <c r="T62" s="16"/>
    </row>
    <row r="63" customFormat="false" ht="15" hidden="false" customHeight="false" outlineLevel="0" collapsed="false">
      <c r="A63" s="16"/>
      <c r="B63" s="16"/>
      <c r="C63" s="16"/>
      <c r="D63" s="16"/>
      <c r="E63" s="16"/>
      <c r="F63" s="16"/>
      <c r="G63" s="16"/>
      <c r="H63" s="16"/>
      <c r="I63" s="16"/>
      <c r="J63" s="4" t="str">
        <f aca="false">IF(OR(H63="",I63=""),"",I63-H63)</f>
        <v/>
      </c>
      <c r="K63" s="4" t="str">
        <f aca="false">IF(J63="","",IF(ABS(J63)&lt;=1,"Yes","No"))</f>
        <v/>
      </c>
      <c r="L63" s="4" t="str">
        <f aca="false">IF(J63="","",IF(ABS(J63)&lt;=2,"Yes","No"))</f>
        <v/>
      </c>
      <c r="M63" s="16"/>
      <c r="N63" s="16"/>
      <c r="O63" s="4" t="str">
        <f aca="false">IF(OR(H63="",N63=""),"",ABS(N63-H63))</f>
        <v/>
      </c>
      <c r="P63" s="4" t="str">
        <f aca="false">IF(J63="","",ABS(J63))</f>
        <v/>
      </c>
      <c r="Q63" s="16"/>
      <c r="R63" s="16"/>
      <c r="S63" s="16"/>
      <c r="T63" s="16"/>
    </row>
    <row r="64" customFormat="false" ht="15" hidden="false" customHeight="false" outlineLevel="0" collapsed="false">
      <c r="A64" s="16"/>
      <c r="B64" s="16"/>
      <c r="C64" s="16"/>
      <c r="D64" s="16"/>
      <c r="E64" s="16"/>
      <c r="F64" s="16"/>
      <c r="G64" s="16"/>
      <c r="H64" s="16"/>
      <c r="I64" s="16"/>
      <c r="J64" s="4" t="str">
        <f aca="false">IF(OR(H64="",I64=""),"",I64-H64)</f>
        <v/>
      </c>
      <c r="K64" s="4" t="str">
        <f aca="false">IF(J64="","",IF(ABS(J64)&lt;=1,"Yes","No"))</f>
        <v/>
      </c>
      <c r="L64" s="4" t="str">
        <f aca="false">IF(J64="","",IF(ABS(J64)&lt;=2,"Yes","No"))</f>
        <v/>
      </c>
      <c r="M64" s="16"/>
      <c r="N64" s="16"/>
      <c r="O64" s="4" t="str">
        <f aca="false">IF(OR(H64="",N64=""),"",ABS(N64-H64))</f>
        <v/>
      </c>
      <c r="P64" s="4" t="str">
        <f aca="false">IF(J64="","",ABS(J64))</f>
        <v/>
      </c>
      <c r="Q64" s="16"/>
      <c r="R64" s="16"/>
      <c r="S64" s="16"/>
      <c r="T64" s="16"/>
    </row>
    <row r="65" customFormat="false" ht="15" hidden="false" customHeight="false" outlineLevel="0" collapsed="false">
      <c r="A65" s="16"/>
      <c r="B65" s="16"/>
      <c r="C65" s="16"/>
      <c r="D65" s="16"/>
      <c r="E65" s="16"/>
      <c r="F65" s="16"/>
      <c r="G65" s="16"/>
      <c r="H65" s="16"/>
      <c r="I65" s="16"/>
      <c r="J65" s="4" t="str">
        <f aca="false">IF(OR(H65="",I65=""),"",I65-H65)</f>
        <v/>
      </c>
      <c r="K65" s="4" t="str">
        <f aca="false">IF(J65="","",IF(ABS(J65)&lt;=1,"Yes","No"))</f>
        <v/>
      </c>
      <c r="L65" s="4" t="str">
        <f aca="false">IF(J65="","",IF(ABS(J65)&lt;=2,"Yes","No"))</f>
        <v/>
      </c>
      <c r="M65" s="16"/>
      <c r="N65" s="16"/>
      <c r="O65" s="4" t="str">
        <f aca="false">IF(OR(H65="",N65=""),"",ABS(N65-H65))</f>
        <v/>
      </c>
      <c r="P65" s="4" t="str">
        <f aca="false">IF(J65="","",ABS(J65))</f>
        <v/>
      </c>
      <c r="Q65" s="16"/>
      <c r="R65" s="16"/>
      <c r="S65" s="16"/>
      <c r="T65" s="16"/>
    </row>
    <row r="66" customFormat="false" ht="15" hidden="false" customHeight="false" outlineLevel="0" collapsed="false">
      <c r="A66" s="16"/>
      <c r="B66" s="16"/>
      <c r="C66" s="16"/>
      <c r="D66" s="16"/>
      <c r="E66" s="16"/>
      <c r="F66" s="16"/>
      <c r="G66" s="16"/>
      <c r="H66" s="16"/>
      <c r="I66" s="16"/>
      <c r="J66" s="4" t="str">
        <f aca="false">IF(OR(H66="",I66=""),"",I66-H66)</f>
        <v/>
      </c>
      <c r="K66" s="4" t="str">
        <f aca="false">IF(J66="","",IF(ABS(J66)&lt;=1,"Yes","No"))</f>
        <v/>
      </c>
      <c r="L66" s="4" t="str">
        <f aca="false">IF(J66="","",IF(ABS(J66)&lt;=2,"Yes","No"))</f>
        <v/>
      </c>
      <c r="M66" s="16"/>
      <c r="N66" s="16"/>
      <c r="O66" s="4" t="str">
        <f aca="false">IF(OR(H66="",N66=""),"",ABS(N66-H66))</f>
        <v/>
      </c>
      <c r="P66" s="4" t="str">
        <f aca="false">IF(J66="","",ABS(J66))</f>
        <v/>
      </c>
      <c r="Q66" s="16"/>
      <c r="R66" s="16"/>
      <c r="S66" s="16"/>
      <c r="T66" s="16"/>
    </row>
    <row r="67" customFormat="false" ht="15" hidden="false" customHeight="false" outlineLevel="0" collapsed="false">
      <c r="A67" s="16"/>
      <c r="B67" s="16"/>
      <c r="C67" s="16"/>
      <c r="D67" s="16"/>
      <c r="E67" s="16"/>
      <c r="F67" s="16"/>
      <c r="G67" s="16"/>
      <c r="H67" s="16"/>
      <c r="I67" s="16"/>
      <c r="J67" s="4" t="str">
        <f aca="false">IF(OR(H67="",I67=""),"",I67-H67)</f>
        <v/>
      </c>
      <c r="K67" s="4" t="str">
        <f aca="false">IF(J67="","",IF(ABS(J67)&lt;=1,"Yes","No"))</f>
        <v/>
      </c>
      <c r="L67" s="4" t="str">
        <f aca="false">IF(J67="","",IF(ABS(J67)&lt;=2,"Yes","No"))</f>
        <v/>
      </c>
      <c r="M67" s="16"/>
      <c r="N67" s="16"/>
      <c r="O67" s="4" t="str">
        <f aca="false">IF(OR(H67="",N67=""),"",ABS(N67-H67))</f>
        <v/>
      </c>
      <c r="P67" s="4" t="str">
        <f aca="false">IF(J67="","",ABS(J67))</f>
        <v/>
      </c>
      <c r="Q67" s="16"/>
      <c r="R67" s="16"/>
      <c r="S67" s="16"/>
      <c r="T67" s="16"/>
    </row>
    <row r="68" customFormat="false" ht="15" hidden="false" customHeight="false" outlineLevel="0" collapsed="false">
      <c r="A68" s="16"/>
      <c r="B68" s="16"/>
      <c r="C68" s="16"/>
      <c r="D68" s="16"/>
      <c r="E68" s="16"/>
      <c r="F68" s="16"/>
      <c r="G68" s="16"/>
      <c r="H68" s="16"/>
      <c r="I68" s="16"/>
      <c r="J68" s="4" t="str">
        <f aca="false">IF(OR(H68="",I68=""),"",I68-H68)</f>
        <v/>
      </c>
      <c r="K68" s="4" t="str">
        <f aca="false">IF(J68="","",IF(ABS(J68)&lt;=1,"Yes","No"))</f>
        <v/>
      </c>
      <c r="L68" s="4" t="str">
        <f aca="false">IF(J68="","",IF(ABS(J68)&lt;=2,"Yes","No"))</f>
        <v/>
      </c>
      <c r="M68" s="16"/>
      <c r="N68" s="16"/>
      <c r="O68" s="4" t="str">
        <f aca="false">IF(OR(H68="",N68=""),"",ABS(N68-H68))</f>
        <v/>
      </c>
      <c r="P68" s="4" t="str">
        <f aca="false">IF(J68="","",ABS(J68))</f>
        <v/>
      </c>
      <c r="Q68" s="16"/>
      <c r="R68" s="16"/>
      <c r="S68" s="16"/>
      <c r="T68" s="16"/>
    </row>
    <row r="69" customFormat="false" ht="15" hidden="false" customHeight="false" outlineLevel="0" collapsed="false">
      <c r="A69" s="16"/>
      <c r="B69" s="16"/>
      <c r="C69" s="16"/>
      <c r="D69" s="16"/>
      <c r="E69" s="16"/>
      <c r="F69" s="16"/>
      <c r="G69" s="16"/>
      <c r="H69" s="16"/>
      <c r="I69" s="16"/>
      <c r="J69" s="4" t="str">
        <f aca="false">IF(OR(H69="",I69=""),"",I69-H69)</f>
        <v/>
      </c>
      <c r="K69" s="4" t="str">
        <f aca="false">IF(J69="","",IF(ABS(J69)&lt;=1,"Yes","No"))</f>
        <v/>
      </c>
      <c r="L69" s="4" t="str">
        <f aca="false">IF(J69="","",IF(ABS(J69)&lt;=2,"Yes","No"))</f>
        <v/>
      </c>
      <c r="M69" s="16"/>
      <c r="N69" s="16"/>
      <c r="O69" s="4" t="str">
        <f aca="false">IF(OR(H69="",N69=""),"",ABS(N69-H69))</f>
        <v/>
      </c>
      <c r="P69" s="4" t="str">
        <f aca="false">IF(J69="","",ABS(J69))</f>
        <v/>
      </c>
      <c r="Q69" s="16"/>
      <c r="R69" s="16"/>
      <c r="S69" s="16"/>
      <c r="T69" s="16"/>
    </row>
    <row r="70" customFormat="false" ht="15" hidden="false" customHeight="false" outlineLevel="0" collapsed="false">
      <c r="A70" s="16"/>
      <c r="B70" s="16"/>
      <c r="C70" s="16"/>
      <c r="D70" s="16"/>
      <c r="E70" s="16"/>
      <c r="F70" s="16"/>
      <c r="G70" s="16"/>
      <c r="H70" s="16"/>
      <c r="I70" s="16"/>
      <c r="J70" s="4" t="str">
        <f aca="false">IF(OR(H70="",I70=""),"",I70-H70)</f>
        <v/>
      </c>
      <c r="K70" s="4" t="str">
        <f aca="false">IF(J70="","",IF(ABS(J70)&lt;=1,"Yes","No"))</f>
        <v/>
      </c>
      <c r="L70" s="4" t="str">
        <f aca="false">IF(J70="","",IF(ABS(J70)&lt;=2,"Yes","No"))</f>
        <v/>
      </c>
      <c r="M70" s="16"/>
      <c r="N70" s="16"/>
      <c r="O70" s="4" t="str">
        <f aca="false">IF(OR(H70="",N70=""),"",ABS(N70-H70))</f>
        <v/>
      </c>
      <c r="P70" s="4" t="str">
        <f aca="false">IF(J70="","",ABS(J70))</f>
        <v/>
      </c>
      <c r="Q70" s="16"/>
      <c r="R70" s="16"/>
      <c r="S70" s="16"/>
      <c r="T70" s="16"/>
    </row>
    <row r="71" customFormat="false" ht="15" hidden="false" customHeight="false" outlineLevel="0" collapsed="false">
      <c r="A71" s="16"/>
      <c r="B71" s="16"/>
      <c r="C71" s="16"/>
      <c r="D71" s="16"/>
      <c r="E71" s="16"/>
      <c r="F71" s="16"/>
      <c r="G71" s="16"/>
      <c r="H71" s="16"/>
      <c r="I71" s="16"/>
      <c r="J71" s="4" t="str">
        <f aca="false">IF(OR(H71="",I71=""),"",I71-H71)</f>
        <v/>
      </c>
      <c r="K71" s="4" t="str">
        <f aca="false">IF(J71="","",IF(ABS(J71)&lt;=1,"Yes","No"))</f>
        <v/>
      </c>
      <c r="L71" s="4" t="str">
        <f aca="false">IF(J71="","",IF(ABS(J71)&lt;=2,"Yes","No"))</f>
        <v/>
      </c>
      <c r="M71" s="16"/>
      <c r="N71" s="16"/>
      <c r="O71" s="4" t="str">
        <f aca="false">IF(OR(H71="",N71=""),"",ABS(N71-H71))</f>
        <v/>
      </c>
      <c r="P71" s="4" t="str">
        <f aca="false">IF(J71="","",ABS(J71))</f>
        <v/>
      </c>
      <c r="Q71" s="16"/>
      <c r="R71" s="16"/>
      <c r="S71" s="16"/>
      <c r="T71" s="16"/>
    </row>
    <row r="72" customFormat="false" ht="15" hidden="false" customHeight="false" outlineLevel="0" collapsed="false">
      <c r="A72" s="16"/>
      <c r="B72" s="16"/>
      <c r="C72" s="16"/>
      <c r="D72" s="16"/>
      <c r="E72" s="16"/>
      <c r="F72" s="16"/>
      <c r="G72" s="16"/>
      <c r="H72" s="16"/>
      <c r="I72" s="16"/>
      <c r="J72" s="4" t="str">
        <f aca="false">IF(OR(H72="",I72=""),"",I72-H72)</f>
        <v/>
      </c>
      <c r="K72" s="4" t="str">
        <f aca="false">IF(J72="","",IF(ABS(J72)&lt;=1,"Yes","No"))</f>
        <v/>
      </c>
      <c r="L72" s="4" t="str">
        <f aca="false">IF(J72="","",IF(ABS(J72)&lt;=2,"Yes","No"))</f>
        <v/>
      </c>
      <c r="M72" s="16"/>
      <c r="N72" s="16"/>
      <c r="O72" s="4" t="str">
        <f aca="false">IF(OR(H72="",N72=""),"",ABS(N72-H72))</f>
        <v/>
      </c>
      <c r="P72" s="4" t="str">
        <f aca="false">IF(J72="","",ABS(J72))</f>
        <v/>
      </c>
      <c r="Q72" s="16"/>
      <c r="R72" s="16"/>
      <c r="S72" s="16"/>
      <c r="T72" s="16"/>
    </row>
    <row r="73" customFormat="false" ht="15" hidden="false" customHeight="false" outlineLevel="0" collapsed="false">
      <c r="A73" s="16"/>
      <c r="B73" s="16"/>
      <c r="C73" s="16"/>
      <c r="D73" s="16"/>
      <c r="E73" s="16"/>
      <c r="F73" s="16"/>
      <c r="G73" s="16"/>
      <c r="H73" s="16"/>
      <c r="I73" s="16"/>
      <c r="J73" s="4" t="str">
        <f aca="false">IF(OR(H73="",I73=""),"",I73-H73)</f>
        <v/>
      </c>
      <c r="K73" s="4" t="str">
        <f aca="false">IF(J73="","",IF(ABS(J73)&lt;=1,"Yes","No"))</f>
        <v/>
      </c>
      <c r="L73" s="4" t="str">
        <f aca="false">IF(J73="","",IF(ABS(J73)&lt;=2,"Yes","No"))</f>
        <v/>
      </c>
      <c r="M73" s="16"/>
      <c r="N73" s="16"/>
      <c r="O73" s="4" t="str">
        <f aca="false">IF(OR(H73="",N73=""),"",ABS(N73-H73))</f>
        <v/>
      </c>
      <c r="P73" s="4" t="str">
        <f aca="false">IF(J73="","",ABS(J73))</f>
        <v/>
      </c>
      <c r="Q73" s="16"/>
      <c r="R73" s="16"/>
      <c r="S73" s="16"/>
      <c r="T73" s="16"/>
    </row>
    <row r="74" customFormat="false" ht="15" hidden="false" customHeight="false" outlineLevel="0" collapsed="false">
      <c r="A74" s="16"/>
      <c r="B74" s="16"/>
      <c r="C74" s="16"/>
      <c r="D74" s="16"/>
      <c r="E74" s="16"/>
      <c r="F74" s="16"/>
      <c r="G74" s="16"/>
      <c r="H74" s="16"/>
      <c r="I74" s="16"/>
      <c r="J74" s="4" t="str">
        <f aca="false">IF(OR(H74="",I74=""),"",I74-H74)</f>
        <v/>
      </c>
      <c r="K74" s="4" t="str">
        <f aca="false">IF(J74="","",IF(ABS(J74)&lt;=1,"Yes","No"))</f>
        <v/>
      </c>
      <c r="L74" s="4" t="str">
        <f aca="false">IF(J74="","",IF(ABS(J74)&lt;=2,"Yes","No"))</f>
        <v/>
      </c>
      <c r="M74" s="16"/>
      <c r="N74" s="16"/>
      <c r="O74" s="4" t="str">
        <f aca="false">IF(OR(H74="",N74=""),"",ABS(N74-H74))</f>
        <v/>
      </c>
      <c r="P74" s="4" t="str">
        <f aca="false">IF(J74="","",ABS(J74))</f>
        <v/>
      </c>
      <c r="Q74" s="16"/>
      <c r="R74" s="16"/>
      <c r="S74" s="16"/>
      <c r="T74" s="16"/>
    </row>
    <row r="75" customFormat="false" ht="15" hidden="false" customHeight="false" outlineLevel="0" collapsed="false">
      <c r="A75" s="16"/>
      <c r="B75" s="16"/>
      <c r="C75" s="16"/>
      <c r="D75" s="16"/>
      <c r="E75" s="16"/>
      <c r="F75" s="16"/>
      <c r="G75" s="16"/>
      <c r="H75" s="16"/>
      <c r="I75" s="16"/>
      <c r="J75" s="4" t="str">
        <f aca="false">IF(OR(H75="",I75=""),"",I75-H75)</f>
        <v/>
      </c>
      <c r="K75" s="4" t="str">
        <f aca="false">IF(J75="","",IF(ABS(J75)&lt;=1,"Yes","No"))</f>
        <v/>
      </c>
      <c r="L75" s="4" t="str">
        <f aca="false">IF(J75="","",IF(ABS(J75)&lt;=2,"Yes","No"))</f>
        <v/>
      </c>
      <c r="M75" s="16"/>
      <c r="N75" s="16"/>
      <c r="O75" s="4" t="str">
        <f aca="false">IF(OR(H75="",N75=""),"",ABS(N75-H75))</f>
        <v/>
      </c>
      <c r="P75" s="4" t="str">
        <f aca="false">IF(J75="","",ABS(J75))</f>
        <v/>
      </c>
      <c r="Q75" s="16"/>
      <c r="R75" s="16"/>
      <c r="S75" s="16"/>
      <c r="T75" s="16"/>
    </row>
    <row r="76" customFormat="false" ht="15" hidden="false" customHeight="false" outlineLevel="0" collapsed="false">
      <c r="A76" s="16"/>
      <c r="B76" s="16"/>
      <c r="C76" s="16"/>
      <c r="D76" s="16"/>
      <c r="E76" s="16"/>
      <c r="F76" s="16"/>
      <c r="G76" s="16"/>
      <c r="H76" s="16"/>
      <c r="I76" s="16"/>
      <c r="J76" s="4" t="str">
        <f aca="false">IF(OR(H76="",I76=""),"",I76-H76)</f>
        <v/>
      </c>
      <c r="K76" s="4" t="str">
        <f aca="false">IF(J76="","",IF(ABS(J76)&lt;=1,"Yes","No"))</f>
        <v/>
      </c>
      <c r="L76" s="4" t="str">
        <f aca="false">IF(J76="","",IF(ABS(J76)&lt;=2,"Yes","No"))</f>
        <v/>
      </c>
      <c r="M76" s="16"/>
      <c r="N76" s="16"/>
      <c r="O76" s="4" t="str">
        <f aca="false">IF(OR(H76="",N76=""),"",ABS(N76-H76))</f>
        <v/>
      </c>
      <c r="P76" s="4" t="str">
        <f aca="false">IF(J76="","",ABS(J76))</f>
        <v/>
      </c>
      <c r="Q76" s="16"/>
      <c r="R76" s="16"/>
      <c r="S76" s="16"/>
      <c r="T76" s="16"/>
    </row>
    <row r="77" customFormat="false" ht="15" hidden="false" customHeight="false" outlineLevel="0" collapsed="false">
      <c r="A77" s="16"/>
      <c r="B77" s="16"/>
      <c r="C77" s="16"/>
      <c r="D77" s="16"/>
      <c r="E77" s="16"/>
      <c r="F77" s="16"/>
      <c r="G77" s="16"/>
      <c r="H77" s="16"/>
      <c r="I77" s="16"/>
      <c r="J77" s="4" t="str">
        <f aca="false">IF(OR(H77="",I77=""),"",I77-H77)</f>
        <v/>
      </c>
      <c r="K77" s="4" t="str">
        <f aca="false">IF(J77="","",IF(ABS(J77)&lt;=1,"Yes","No"))</f>
        <v/>
      </c>
      <c r="L77" s="4" t="str">
        <f aca="false">IF(J77="","",IF(ABS(J77)&lt;=2,"Yes","No"))</f>
        <v/>
      </c>
      <c r="M77" s="16"/>
      <c r="N77" s="16"/>
      <c r="O77" s="4" t="str">
        <f aca="false">IF(OR(H77="",N77=""),"",ABS(N77-H77))</f>
        <v/>
      </c>
      <c r="P77" s="4" t="str">
        <f aca="false">IF(J77="","",ABS(J77))</f>
        <v/>
      </c>
      <c r="Q77" s="16"/>
      <c r="R77" s="16"/>
      <c r="S77" s="16"/>
      <c r="T77" s="16"/>
    </row>
    <row r="78" customFormat="false" ht="15" hidden="false" customHeight="false" outlineLevel="0" collapsed="false">
      <c r="A78" s="16"/>
      <c r="B78" s="16"/>
      <c r="C78" s="16"/>
      <c r="D78" s="16"/>
      <c r="E78" s="16"/>
      <c r="F78" s="16"/>
      <c r="G78" s="16"/>
      <c r="H78" s="16"/>
      <c r="I78" s="16"/>
      <c r="J78" s="4" t="str">
        <f aca="false">IF(OR(H78="",I78=""),"",I78-H78)</f>
        <v/>
      </c>
      <c r="K78" s="4" t="str">
        <f aca="false">IF(J78="","",IF(ABS(J78)&lt;=1,"Yes","No"))</f>
        <v/>
      </c>
      <c r="L78" s="4" t="str">
        <f aca="false">IF(J78="","",IF(ABS(J78)&lt;=2,"Yes","No"))</f>
        <v/>
      </c>
      <c r="M78" s="16"/>
      <c r="N78" s="16"/>
      <c r="O78" s="4" t="str">
        <f aca="false">IF(OR(H78="",N78=""),"",ABS(N78-H78))</f>
        <v/>
      </c>
      <c r="P78" s="4" t="str">
        <f aca="false">IF(J78="","",ABS(J78))</f>
        <v/>
      </c>
      <c r="Q78" s="16"/>
      <c r="R78" s="16"/>
      <c r="S78" s="16"/>
      <c r="T78" s="16"/>
    </row>
    <row r="79" customFormat="false" ht="15" hidden="false" customHeight="false" outlineLevel="0" collapsed="false">
      <c r="A79" s="16"/>
      <c r="B79" s="16"/>
      <c r="C79" s="16"/>
      <c r="D79" s="16"/>
      <c r="E79" s="16"/>
      <c r="F79" s="16"/>
      <c r="G79" s="16"/>
      <c r="H79" s="16"/>
      <c r="I79" s="16"/>
      <c r="J79" s="4" t="str">
        <f aca="false">IF(OR(H79="",I79=""),"",I79-H79)</f>
        <v/>
      </c>
      <c r="K79" s="4" t="str">
        <f aca="false">IF(J79="","",IF(ABS(J79)&lt;=1,"Yes","No"))</f>
        <v/>
      </c>
      <c r="L79" s="4" t="str">
        <f aca="false">IF(J79="","",IF(ABS(J79)&lt;=2,"Yes","No"))</f>
        <v/>
      </c>
      <c r="M79" s="16"/>
      <c r="N79" s="16"/>
      <c r="O79" s="4" t="str">
        <f aca="false">IF(OR(H79="",N79=""),"",ABS(N79-H79))</f>
        <v/>
      </c>
      <c r="P79" s="4" t="str">
        <f aca="false">IF(J79="","",ABS(J79))</f>
        <v/>
      </c>
      <c r="Q79" s="16"/>
      <c r="R79" s="16"/>
      <c r="S79" s="16"/>
      <c r="T79" s="16"/>
    </row>
    <row r="80" customFormat="false" ht="15" hidden="false" customHeight="false" outlineLevel="0" collapsed="false">
      <c r="A80" s="16"/>
      <c r="B80" s="16"/>
      <c r="C80" s="16"/>
      <c r="D80" s="16"/>
      <c r="E80" s="16"/>
      <c r="F80" s="16"/>
      <c r="G80" s="16"/>
      <c r="H80" s="16"/>
      <c r="I80" s="16"/>
      <c r="J80" s="4" t="str">
        <f aca="false">IF(OR(H80="",I80=""),"",I80-H80)</f>
        <v/>
      </c>
      <c r="K80" s="4" t="str">
        <f aca="false">IF(J80="","",IF(ABS(J80)&lt;=1,"Yes","No"))</f>
        <v/>
      </c>
      <c r="L80" s="4" t="str">
        <f aca="false">IF(J80="","",IF(ABS(J80)&lt;=2,"Yes","No"))</f>
        <v/>
      </c>
      <c r="M80" s="16"/>
      <c r="N80" s="16"/>
      <c r="O80" s="4" t="str">
        <f aca="false">IF(OR(H80="",N80=""),"",ABS(N80-H80))</f>
        <v/>
      </c>
      <c r="P80" s="4" t="str">
        <f aca="false">IF(J80="","",ABS(J80))</f>
        <v/>
      </c>
      <c r="Q80" s="16"/>
      <c r="R80" s="16"/>
      <c r="S80" s="16"/>
      <c r="T80" s="16"/>
    </row>
    <row r="81" customFormat="false" ht="15" hidden="false" customHeight="false" outlineLevel="0" collapsed="false">
      <c r="A81" s="16"/>
      <c r="B81" s="16"/>
      <c r="C81" s="16"/>
      <c r="D81" s="16"/>
      <c r="E81" s="16"/>
      <c r="F81" s="16"/>
      <c r="G81" s="16"/>
      <c r="H81" s="16"/>
      <c r="I81" s="16"/>
      <c r="J81" s="4" t="str">
        <f aca="false">IF(OR(H81="",I81=""),"",I81-H81)</f>
        <v/>
      </c>
      <c r="K81" s="4" t="str">
        <f aca="false">IF(J81="","",IF(ABS(J81)&lt;=1,"Yes","No"))</f>
        <v/>
      </c>
      <c r="L81" s="4" t="str">
        <f aca="false">IF(J81="","",IF(ABS(J81)&lt;=2,"Yes","No"))</f>
        <v/>
      </c>
      <c r="M81" s="16"/>
      <c r="N81" s="16"/>
      <c r="O81" s="4" t="str">
        <f aca="false">IF(OR(H81="",N81=""),"",ABS(N81-H81))</f>
        <v/>
      </c>
      <c r="P81" s="4" t="str">
        <f aca="false">IF(J81="","",ABS(J81))</f>
        <v/>
      </c>
      <c r="Q81" s="16"/>
      <c r="R81" s="16"/>
      <c r="S81" s="16"/>
      <c r="T81" s="16"/>
    </row>
    <row r="82" customFormat="false" ht="15" hidden="false" customHeight="false" outlineLevel="0" collapsed="false">
      <c r="A82" s="16"/>
      <c r="B82" s="16"/>
      <c r="C82" s="16"/>
      <c r="D82" s="16"/>
      <c r="E82" s="16"/>
      <c r="F82" s="16"/>
      <c r="G82" s="16"/>
      <c r="H82" s="16"/>
      <c r="I82" s="16"/>
      <c r="J82" s="4" t="str">
        <f aca="false">IF(OR(H82="",I82=""),"",I82-H82)</f>
        <v/>
      </c>
      <c r="K82" s="4" t="str">
        <f aca="false">IF(J82="","",IF(ABS(J82)&lt;=1,"Yes","No"))</f>
        <v/>
      </c>
      <c r="L82" s="4" t="str">
        <f aca="false">IF(J82="","",IF(ABS(J82)&lt;=2,"Yes","No"))</f>
        <v/>
      </c>
      <c r="M82" s="16"/>
      <c r="N82" s="16"/>
      <c r="O82" s="4" t="str">
        <f aca="false">IF(OR(H82="",N82=""),"",ABS(N82-H82))</f>
        <v/>
      </c>
      <c r="P82" s="4" t="str">
        <f aca="false">IF(J82="","",ABS(J82))</f>
        <v/>
      </c>
      <c r="Q82" s="16"/>
      <c r="R82" s="16"/>
      <c r="S82" s="16"/>
      <c r="T82" s="16"/>
    </row>
    <row r="83" customFormat="false" ht="15" hidden="false" customHeight="false" outlineLevel="0" collapsed="false">
      <c r="A83" s="16"/>
      <c r="B83" s="16"/>
      <c r="C83" s="16"/>
      <c r="D83" s="16"/>
      <c r="E83" s="16"/>
      <c r="F83" s="16"/>
      <c r="G83" s="16"/>
      <c r="H83" s="16"/>
      <c r="I83" s="16"/>
      <c r="J83" s="4" t="str">
        <f aca="false">IF(OR(H83="",I83=""),"",I83-H83)</f>
        <v/>
      </c>
      <c r="K83" s="4" t="str">
        <f aca="false">IF(J83="","",IF(ABS(J83)&lt;=1,"Yes","No"))</f>
        <v/>
      </c>
      <c r="L83" s="4" t="str">
        <f aca="false">IF(J83="","",IF(ABS(J83)&lt;=2,"Yes","No"))</f>
        <v/>
      </c>
      <c r="M83" s="16"/>
      <c r="N83" s="16"/>
      <c r="O83" s="4" t="str">
        <f aca="false">IF(OR(H83="",N83=""),"",ABS(N83-H83))</f>
        <v/>
      </c>
      <c r="P83" s="4" t="str">
        <f aca="false">IF(J83="","",ABS(J83))</f>
        <v/>
      </c>
      <c r="Q83" s="16"/>
      <c r="R83" s="16"/>
      <c r="S83" s="16"/>
      <c r="T83" s="16"/>
    </row>
    <row r="84" customFormat="false" ht="15" hidden="false" customHeight="false" outlineLevel="0" collapsed="false">
      <c r="A84" s="16"/>
      <c r="B84" s="16"/>
      <c r="C84" s="16"/>
      <c r="D84" s="16"/>
      <c r="E84" s="16"/>
      <c r="F84" s="16"/>
      <c r="G84" s="16"/>
      <c r="H84" s="16"/>
      <c r="I84" s="16"/>
      <c r="J84" s="4" t="str">
        <f aca="false">IF(OR(H84="",I84=""),"",I84-H84)</f>
        <v/>
      </c>
      <c r="K84" s="4" t="str">
        <f aca="false">IF(J84="","",IF(ABS(J84)&lt;=1,"Yes","No"))</f>
        <v/>
      </c>
      <c r="L84" s="4" t="str">
        <f aca="false">IF(J84="","",IF(ABS(J84)&lt;=2,"Yes","No"))</f>
        <v/>
      </c>
      <c r="M84" s="16"/>
      <c r="N84" s="16"/>
      <c r="O84" s="4" t="str">
        <f aca="false">IF(OR(H84="",N84=""),"",ABS(N84-H84))</f>
        <v/>
      </c>
      <c r="P84" s="4" t="str">
        <f aca="false">IF(J84="","",ABS(J84))</f>
        <v/>
      </c>
      <c r="Q84" s="16"/>
      <c r="R84" s="16"/>
      <c r="S84" s="16"/>
      <c r="T84" s="16"/>
    </row>
    <row r="85" customFormat="false" ht="15" hidden="false" customHeight="false" outlineLevel="0" collapsed="false">
      <c r="A85" s="16"/>
      <c r="B85" s="16"/>
      <c r="C85" s="16"/>
      <c r="D85" s="16"/>
      <c r="E85" s="16"/>
      <c r="F85" s="16"/>
      <c r="G85" s="16"/>
      <c r="H85" s="16"/>
      <c r="I85" s="16"/>
      <c r="J85" s="4" t="str">
        <f aca="false">IF(OR(H85="",I85=""),"",I85-H85)</f>
        <v/>
      </c>
      <c r="K85" s="4" t="str">
        <f aca="false">IF(J85="","",IF(ABS(J85)&lt;=1,"Yes","No"))</f>
        <v/>
      </c>
      <c r="L85" s="4" t="str">
        <f aca="false">IF(J85="","",IF(ABS(J85)&lt;=2,"Yes","No"))</f>
        <v/>
      </c>
      <c r="M85" s="16"/>
      <c r="N85" s="16"/>
      <c r="O85" s="4" t="str">
        <f aca="false">IF(OR(H85="",N85=""),"",ABS(N85-H85))</f>
        <v/>
      </c>
      <c r="P85" s="4" t="str">
        <f aca="false">IF(J85="","",ABS(J85))</f>
        <v/>
      </c>
      <c r="Q85" s="16"/>
      <c r="R85" s="16"/>
      <c r="S85" s="16"/>
      <c r="T85" s="16"/>
    </row>
    <row r="86" customFormat="false" ht="15" hidden="false" customHeight="false" outlineLevel="0" collapsed="false">
      <c r="A86" s="16"/>
      <c r="B86" s="16"/>
      <c r="C86" s="16"/>
      <c r="D86" s="16"/>
      <c r="E86" s="16"/>
      <c r="F86" s="16"/>
      <c r="G86" s="16"/>
      <c r="H86" s="16"/>
      <c r="I86" s="16"/>
      <c r="J86" s="4" t="str">
        <f aca="false">IF(OR(H86="",I86=""),"",I86-H86)</f>
        <v/>
      </c>
      <c r="K86" s="4" t="str">
        <f aca="false">IF(J86="","",IF(ABS(J86)&lt;=1,"Yes","No"))</f>
        <v/>
      </c>
      <c r="L86" s="4" t="str">
        <f aca="false">IF(J86="","",IF(ABS(J86)&lt;=2,"Yes","No"))</f>
        <v/>
      </c>
      <c r="M86" s="16"/>
      <c r="N86" s="16"/>
      <c r="O86" s="4" t="str">
        <f aca="false">IF(OR(H86="",N86=""),"",ABS(N86-H86))</f>
        <v/>
      </c>
      <c r="P86" s="4" t="str">
        <f aca="false">IF(J86="","",ABS(J86))</f>
        <v/>
      </c>
      <c r="Q86" s="16"/>
      <c r="R86" s="16"/>
      <c r="S86" s="16"/>
      <c r="T86" s="16"/>
    </row>
    <row r="87" customFormat="false" ht="15" hidden="false" customHeight="false" outlineLevel="0" collapsed="false">
      <c r="A87" s="16"/>
      <c r="B87" s="16"/>
      <c r="C87" s="16"/>
      <c r="D87" s="16"/>
      <c r="E87" s="16"/>
      <c r="F87" s="16"/>
      <c r="G87" s="16"/>
      <c r="H87" s="16"/>
      <c r="I87" s="16"/>
      <c r="J87" s="4" t="str">
        <f aca="false">IF(OR(H87="",I87=""),"",I87-H87)</f>
        <v/>
      </c>
      <c r="K87" s="4" t="str">
        <f aca="false">IF(J87="","",IF(ABS(J87)&lt;=1,"Yes","No"))</f>
        <v/>
      </c>
      <c r="L87" s="4" t="str">
        <f aca="false">IF(J87="","",IF(ABS(J87)&lt;=2,"Yes","No"))</f>
        <v/>
      </c>
      <c r="M87" s="16"/>
      <c r="N87" s="16"/>
      <c r="O87" s="4" t="str">
        <f aca="false">IF(OR(H87="",N87=""),"",ABS(N87-H87))</f>
        <v/>
      </c>
      <c r="P87" s="4" t="str">
        <f aca="false">IF(J87="","",ABS(J87))</f>
        <v/>
      </c>
      <c r="Q87" s="16"/>
      <c r="R87" s="16"/>
      <c r="S87" s="16"/>
      <c r="T87" s="16"/>
    </row>
    <row r="88" customFormat="false" ht="15" hidden="false" customHeight="false" outlineLevel="0" collapsed="false">
      <c r="A88" s="16"/>
      <c r="B88" s="16"/>
      <c r="C88" s="16"/>
      <c r="D88" s="16"/>
      <c r="E88" s="16"/>
      <c r="F88" s="16"/>
      <c r="G88" s="16"/>
      <c r="H88" s="16"/>
      <c r="I88" s="16"/>
      <c r="J88" s="4" t="str">
        <f aca="false">IF(OR(H88="",I88=""),"",I88-H88)</f>
        <v/>
      </c>
      <c r="K88" s="4" t="str">
        <f aca="false">IF(J88="","",IF(ABS(J88)&lt;=1,"Yes","No"))</f>
        <v/>
      </c>
      <c r="L88" s="4" t="str">
        <f aca="false">IF(J88="","",IF(ABS(J88)&lt;=2,"Yes","No"))</f>
        <v/>
      </c>
      <c r="M88" s="16"/>
      <c r="N88" s="16"/>
      <c r="O88" s="4" t="str">
        <f aca="false">IF(OR(H88="",N88=""),"",ABS(N88-H88))</f>
        <v/>
      </c>
      <c r="P88" s="4" t="str">
        <f aca="false">IF(J88="","",ABS(J88))</f>
        <v/>
      </c>
      <c r="Q88" s="16"/>
      <c r="R88" s="16"/>
      <c r="S88" s="16"/>
      <c r="T88" s="16"/>
    </row>
    <row r="89" customFormat="false" ht="15" hidden="false" customHeight="false" outlineLevel="0" collapsed="false">
      <c r="A89" s="16"/>
      <c r="B89" s="16"/>
      <c r="C89" s="16"/>
      <c r="D89" s="16"/>
      <c r="E89" s="16"/>
      <c r="F89" s="16"/>
      <c r="G89" s="16"/>
      <c r="H89" s="16"/>
      <c r="I89" s="16"/>
      <c r="J89" s="4" t="str">
        <f aca="false">IF(OR(H89="",I89=""),"",I89-H89)</f>
        <v/>
      </c>
      <c r="K89" s="4" t="str">
        <f aca="false">IF(J89="","",IF(ABS(J89)&lt;=1,"Yes","No"))</f>
        <v/>
      </c>
      <c r="L89" s="4" t="str">
        <f aca="false">IF(J89="","",IF(ABS(J89)&lt;=2,"Yes","No"))</f>
        <v/>
      </c>
      <c r="M89" s="16"/>
      <c r="N89" s="16"/>
      <c r="O89" s="4" t="str">
        <f aca="false">IF(OR(H89="",N89=""),"",ABS(N89-H89))</f>
        <v/>
      </c>
      <c r="P89" s="4" t="str">
        <f aca="false">IF(J89="","",ABS(J89))</f>
        <v/>
      </c>
      <c r="Q89" s="16"/>
      <c r="R89" s="16"/>
      <c r="S89" s="16"/>
      <c r="T89" s="16"/>
    </row>
    <row r="90" customFormat="false" ht="15" hidden="false" customHeight="false" outlineLevel="0" collapsed="false">
      <c r="A90" s="16"/>
      <c r="B90" s="16"/>
      <c r="C90" s="16"/>
      <c r="D90" s="16"/>
      <c r="E90" s="16"/>
      <c r="F90" s="16"/>
      <c r="G90" s="16"/>
      <c r="H90" s="16"/>
      <c r="I90" s="16"/>
      <c r="J90" s="4" t="str">
        <f aca="false">IF(OR(H90="",I90=""),"",I90-H90)</f>
        <v/>
      </c>
      <c r="K90" s="4" t="str">
        <f aca="false">IF(J90="","",IF(ABS(J90)&lt;=1,"Yes","No"))</f>
        <v/>
      </c>
      <c r="L90" s="4" t="str">
        <f aca="false">IF(J90="","",IF(ABS(J90)&lt;=2,"Yes","No"))</f>
        <v/>
      </c>
      <c r="M90" s="16"/>
      <c r="N90" s="16"/>
      <c r="O90" s="4" t="str">
        <f aca="false">IF(OR(H90="",N90=""),"",ABS(N90-H90))</f>
        <v/>
      </c>
      <c r="P90" s="4" t="str">
        <f aca="false">IF(J90="","",ABS(J90))</f>
        <v/>
      </c>
      <c r="Q90" s="16"/>
      <c r="R90" s="16"/>
      <c r="S90" s="16"/>
      <c r="T90" s="16"/>
    </row>
    <row r="91" customFormat="false" ht="15" hidden="false" customHeight="false" outlineLevel="0" collapsed="false">
      <c r="A91" s="16"/>
      <c r="B91" s="16"/>
      <c r="C91" s="16"/>
      <c r="D91" s="16"/>
      <c r="E91" s="16"/>
      <c r="F91" s="16"/>
      <c r="G91" s="16"/>
      <c r="H91" s="16"/>
      <c r="I91" s="16"/>
      <c r="J91" s="4" t="str">
        <f aca="false">IF(OR(H91="",I91=""),"",I91-H91)</f>
        <v/>
      </c>
      <c r="K91" s="4" t="str">
        <f aca="false">IF(J91="","",IF(ABS(J91)&lt;=1,"Yes","No"))</f>
        <v/>
      </c>
      <c r="L91" s="4" t="str">
        <f aca="false">IF(J91="","",IF(ABS(J91)&lt;=2,"Yes","No"))</f>
        <v/>
      </c>
      <c r="M91" s="16"/>
      <c r="N91" s="16"/>
      <c r="O91" s="4" t="str">
        <f aca="false">IF(OR(H91="",N91=""),"",ABS(N91-H91))</f>
        <v/>
      </c>
      <c r="P91" s="4" t="str">
        <f aca="false">IF(J91="","",ABS(J91))</f>
        <v/>
      </c>
      <c r="Q91" s="16"/>
      <c r="R91" s="16"/>
      <c r="S91" s="16"/>
      <c r="T91" s="16"/>
    </row>
    <row r="92" customFormat="false" ht="15" hidden="false" customHeight="false" outlineLevel="0" collapsed="false">
      <c r="A92" s="16"/>
      <c r="B92" s="16"/>
      <c r="C92" s="16"/>
      <c r="D92" s="16"/>
      <c r="E92" s="16"/>
      <c r="F92" s="16"/>
      <c r="G92" s="16"/>
      <c r="H92" s="16"/>
      <c r="I92" s="16"/>
      <c r="J92" s="4" t="str">
        <f aca="false">IF(OR(H92="",I92=""),"",I92-H92)</f>
        <v/>
      </c>
      <c r="K92" s="4" t="str">
        <f aca="false">IF(J92="","",IF(ABS(J92)&lt;=1,"Yes","No"))</f>
        <v/>
      </c>
      <c r="L92" s="4" t="str">
        <f aca="false">IF(J92="","",IF(ABS(J92)&lt;=2,"Yes","No"))</f>
        <v/>
      </c>
      <c r="M92" s="16"/>
      <c r="N92" s="16"/>
      <c r="O92" s="4" t="str">
        <f aca="false">IF(OR(H92="",N92=""),"",ABS(N92-H92))</f>
        <v/>
      </c>
      <c r="P92" s="4" t="str">
        <f aca="false">IF(J92="","",ABS(J92))</f>
        <v/>
      </c>
      <c r="Q92" s="16"/>
      <c r="R92" s="16"/>
      <c r="S92" s="16"/>
      <c r="T92" s="16"/>
    </row>
    <row r="93" customFormat="false" ht="15" hidden="false" customHeight="false" outlineLevel="0" collapsed="false">
      <c r="A93" s="16"/>
      <c r="B93" s="16"/>
      <c r="C93" s="16"/>
      <c r="D93" s="16"/>
      <c r="E93" s="16"/>
      <c r="F93" s="16"/>
      <c r="G93" s="16"/>
      <c r="H93" s="16"/>
      <c r="I93" s="16"/>
      <c r="J93" s="4" t="str">
        <f aca="false">IF(OR(H93="",I93=""),"",I93-H93)</f>
        <v/>
      </c>
      <c r="K93" s="4" t="str">
        <f aca="false">IF(J93="","",IF(ABS(J93)&lt;=1,"Yes","No"))</f>
        <v/>
      </c>
      <c r="L93" s="4" t="str">
        <f aca="false">IF(J93="","",IF(ABS(J93)&lt;=2,"Yes","No"))</f>
        <v/>
      </c>
      <c r="M93" s="16"/>
      <c r="N93" s="16"/>
      <c r="O93" s="4" t="str">
        <f aca="false">IF(OR(H93="",N93=""),"",ABS(N93-H93))</f>
        <v/>
      </c>
      <c r="P93" s="4" t="str">
        <f aca="false">IF(J93="","",ABS(J93))</f>
        <v/>
      </c>
      <c r="Q93" s="16"/>
      <c r="R93" s="16"/>
      <c r="S93" s="16"/>
      <c r="T93" s="16"/>
    </row>
    <row r="94" customFormat="false" ht="15" hidden="false" customHeight="false" outlineLevel="0" collapsed="false">
      <c r="A94" s="16"/>
      <c r="B94" s="16"/>
      <c r="C94" s="16"/>
      <c r="D94" s="16"/>
      <c r="E94" s="16"/>
      <c r="F94" s="16"/>
      <c r="G94" s="16"/>
      <c r="H94" s="16"/>
      <c r="I94" s="16"/>
      <c r="J94" s="4" t="str">
        <f aca="false">IF(OR(H94="",I94=""),"",I94-H94)</f>
        <v/>
      </c>
      <c r="K94" s="4" t="str">
        <f aca="false">IF(J94="","",IF(ABS(J94)&lt;=1,"Yes","No"))</f>
        <v/>
      </c>
      <c r="L94" s="4" t="str">
        <f aca="false">IF(J94="","",IF(ABS(J94)&lt;=2,"Yes","No"))</f>
        <v/>
      </c>
      <c r="M94" s="16"/>
      <c r="N94" s="16"/>
      <c r="O94" s="4" t="str">
        <f aca="false">IF(OR(H94="",N94=""),"",ABS(N94-H94))</f>
        <v/>
      </c>
      <c r="P94" s="4" t="str">
        <f aca="false">IF(J94="","",ABS(J94))</f>
        <v/>
      </c>
      <c r="Q94" s="16"/>
      <c r="R94" s="16"/>
      <c r="S94" s="16"/>
      <c r="T94" s="16"/>
    </row>
    <row r="95" customFormat="false" ht="15" hidden="false" customHeight="false" outlineLevel="0" collapsed="false">
      <c r="A95" s="16"/>
      <c r="B95" s="16"/>
      <c r="C95" s="16"/>
      <c r="D95" s="16"/>
      <c r="E95" s="16"/>
      <c r="F95" s="16"/>
      <c r="G95" s="16"/>
      <c r="H95" s="16"/>
      <c r="I95" s="16"/>
      <c r="J95" s="4" t="str">
        <f aca="false">IF(OR(H95="",I95=""),"",I95-H95)</f>
        <v/>
      </c>
      <c r="K95" s="4" t="str">
        <f aca="false">IF(J95="","",IF(ABS(J95)&lt;=1,"Yes","No"))</f>
        <v/>
      </c>
      <c r="L95" s="4" t="str">
        <f aca="false">IF(J95="","",IF(ABS(J95)&lt;=2,"Yes","No"))</f>
        <v/>
      </c>
      <c r="M95" s="16"/>
      <c r="N95" s="16"/>
      <c r="O95" s="4" t="str">
        <f aca="false">IF(OR(H95="",N95=""),"",ABS(N95-H95))</f>
        <v/>
      </c>
      <c r="P95" s="4" t="str">
        <f aca="false">IF(J95="","",ABS(J95))</f>
        <v/>
      </c>
      <c r="Q95" s="16"/>
      <c r="R95" s="16"/>
      <c r="S95" s="16"/>
      <c r="T95" s="16"/>
    </row>
    <row r="96" customFormat="false" ht="15" hidden="false" customHeight="false" outlineLevel="0" collapsed="false">
      <c r="A96" s="16"/>
      <c r="B96" s="16"/>
      <c r="C96" s="16"/>
      <c r="D96" s="16"/>
      <c r="E96" s="16"/>
      <c r="F96" s="16"/>
      <c r="G96" s="16"/>
      <c r="H96" s="16"/>
      <c r="I96" s="16"/>
      <c r="J96" s="4" t="str">
        <f aca="false">IF(OR(H96="",I96=""),"",I96-H96)</f>
        <v/>
      </c>
      <c r="K96" s="4" t="str">
        <f aca="false">IF(J96="","",IF(ABS(J96)&lt;=1,"Yes","No"))</f>
        <v/>
      </c>
      <c r="L96" s="4" t="str">
        <f aca="false">IF(J96="","",IF(ABS(J96)&lt;=2,"Yes","No"))</f>
        <v/>
      </c>
      <c r="M96" s="16"/>
      <c r="N96" s="16"/>
      <c r="O96" s="4" t="str">
        <f aca="false">IF(OR(H96="",N96=""),"",ABS(N96-H96))</f>
        <v/>
      </c>
      <c r="P96" s="4" t="str">
        <f aca="false">IF(J96="","",ABS(J96))</f>
        <v/>
      </c>
      <c r="Q96" s="16"/>
      <c r="R96" s="16"/>
      <c r="S96" s="16"/>
      <c r="T96" s="16"/>
    </row>
    <row r="97" customFormat="false" ht="15" hidden="false" customHeight="false" outlineLevel="0" collapsed="false">
      <c r="A97" s="16"/>
      <c r="B97" s="16"/>
      <c r="C97" s="16"/>
      <c r="D97" s="16"/>
      <c r="E97" s="16"/>
      <c r="F97" s="16"/>
      <c r="G97" s="16"/>
      <c r="H97" s="16"/>
      <c r="I97" s="16"/>
      <c r="J97" s="4" t="str">
        <f aca="false">IF(OR(H97="",I97=""),"",I97-H97)</f>
        <v/>
      </c>
      <c r="K97" s="4" t="str">
        <f aca="false">IF(J97="","",IF(ABS(J97)&lt;=1,"Yes","No"))</f>
        <v/>
      </c>
      <c r="L97" s="4" t="str">
        <f aca="false">IF(J97="","",IF(ABS(J97)&lt;=2,"Yes","No"))</f>
        <v/>
      </c>
      <c r="M97" s="16"/>
      <c r="N97" s="16"/>
      <c r="O97" s="4" t="str">
        <f aca="false">IF(OR(H97="",N97=""),"",ABS(N97-H97))</f>
        <v/>
      </c>
      <c r="P97" s="4" t="str">
        <f aca="false">IF(J97="","",ABS(J97))</f>
        <v/>
      </c>
      <c r="Q97" s="16"/>
      <c r="R97" s="16"/>
      <c r="S97" s="16"/>
      <c r="T97" s="16"/>
    </row>
    <row r="98" customFormat="false" ht="15" hidden="false" customHeight="false" outlineLevel="0" collapsed="false">
      <c r="A98" s="16"/>
      <c r="B98" s="16"/>
      <c r="C98" s="16"/>
      <c r="D98" s="16"/>
      <c r="E98" s="16"/>
      <c r="F98" s="16"/>
      <c r="G98" s="16"/>
      <c r="H98" s="16"/>
      <c r="I98" s="16"/>
      <c r="J98" s="4" t="str">
        <f aca="false">IF(OR(H98="",I98=""),"",I98-H98)</f>
        <v/>
      </c>
      <c r="K98" s="4" t="str">
        <f aca="false">IF(J98="","",IF(ABS(J98)&lt;=1,"Yes","No"))</f>
        <v/>
      </c>
      <c r="L98" s="4" t="str">
        <f aca="false">IF(J98="","",IF(ABS(J98)&lt;=2,"Yes","No"))</f>
        <v/>
      </c>
      <c r="M98" s="16"/>
      <c r="N98" s="16"/>
      <c r="O98" s="4" t="str">
        <f aca="false">IF(OR(H98="",N98=""),"",ABS(N98-H98))</f>
        <v/>
      </c>
      <c r="P98" s="4" t="str">
        <f aca="false">IF(J98="","",ABS(J98))</f>
        <v/>
      </c>
      <c r="Q98" s="16"/>
      <c r="R98" s="16"/>
      <c r="S98" s="16"/>
      <c r="T98" s="16"/>
    </row>
    <row r="99" customFormat="false" ht="15" hidden="false" customHeight="false" outlineLevel="0" collapsed="false">
      <c r="A99" s="16"/>
      <c r="B99" s="16"/>
      <c r="C99" s="16"/>
      <c r="D99" s="16"/>
      <c r="E99" s="16"/>
      <c r="F99" s="16"/>
      <c r="G99" s="16"/>
      <c r="H99" s="16"/>
      <c r="I99" s="16"/>
      <c r="J99" s="4" t="str">
        <f aca="false">IF(OR(H99="",I99=""),"",I99-H99)</f>
        <v/>
      </c>
      <c r="K99" s="4" t="str">
        <f aca="false">IF(J99="","",IF(ABS(J99)&lt;=1,"Yes","No"))</f>
        <v/>
      </c>
      <c r="L99" s="4" t="str">
        <f aca="false">IF(J99="","",IF(ABS(J99)&lt;=2,"Yes","No"))</f>
        <v/>
      </c>
      <c r="M99" s="16"/>
      <c r="N99" s="16"/>
      <c r="O99" s="4" t="str">
        <f aca="false">IF(OR(H99="",N99=""),"",ABS(N99-H99))</f>
        <v/>
      </c>
      <c r="P99" s="4" t="str">
        <f aca="false">IF(J99="","",ABS(J99))</f>
        <v/>
      </c>
      <c r="Q99" s="16"/>
      <c r="R99" s="16"/>
      <c r="S99" s="16"/>
      <c r="T99" s="16"/>
    </row>
    <row r="100" customFormat="false" ht="15" hidden="false" customHeight="false" outlineLevel="0" collapsed="false">
      <c r="A100" s="16"/>
      <c r="B100" s="16"/>
      <c r="C100" s="16"/>
      <c r="D100" s="16"/>
      <c r="E100" s="16"/>
      <c r="F100" s="16"/>
      <c r="G100" s="16"/>
      <c r="H100" s="16"/>
      <c r="I100" s="16"/>
      <c r="J100" s="4" t="str">
        <f aca="false">IF(OR(H100="",I100=""),"",I100-H100)</f>
        <v/>
      </c>
      <c r="K100" s="4" t="str">
        <f aca="false">IF(J100="","",IF(ABS(J100)&lt;=1,"Yes","No"))</f>
        <v/>
      </c>
      <c r="L100" s="4" t="str">
        <f aca="false">IF(J100="","",IF(ABS(J100)&lt;=2,"Yes","No"))</f>
        <v/>
      </c>
      <c r="M100" s="16"/>
      <c r="N100" s="16"/>
      <c r="O100" s="4" t="str">
        <f aca="false">IF(OR(H100="",N100=""),"",ABS(N100-H100))</f>
        <v/>
      </c>
      <c r="P100" s="4" t="str">
        <f aca="false">IF(J100="","",ABS(J100))</f>
        <v/>
      </c>
      <c r="Q100" s="16"/>
      <c r="R100" s="16"/>
      <c r="S100" s="16"/>
      <c r="T100" s="16"/>
    </row>
    <row r="101" customFormat="false" ht="15" hidden="false" customHeight="false" outlineLevel="0" collapsed="false">
      <c r="A101" s="16"/>
      <c r="B101" s="16"/>
      <c r="C101" s="16"/>
      <c r="D101" s="16"/>
      <c r="E101" s="16"/>
      <c r="F101" s="16"/>
      <c r="G101" s="16"/>
      <c r="H101" s="16"/>
      <c r="I101" s="16"/>
      <c r="J101" s="4" t="str">
        <f aca="false">IF(OR(H101="",I101=""),"",I101-H101)</f>
        <v/>
      </c>
      <c r="K101" s="4" t="str">
        <f aca="false">IF(J101="","",IF(ABS(J101)&lt;=1,"Yes","No"))</f>
        <v/>
      </c>
      <c r="L101" s="4" t="str">
        <f aca="false">IF(J101="","",IF(ABS(J101)&lt;=2,"Yes","No"))</f>
        <v/>
      </c>
      <c r="M101" s="16"/>
      <c r="N101" s="16"/>
      <c r="O101" s="4" t="str">
        <f aca="false">IF(OR(H101="",N101=""),"",ABS(N101-H101))</f>
        <v/>
      </c>
      <c r="P101" s="4" t="str">
        <f aca="false">IF(J101="","",ABS(J101))</f>
        <v/>
      </c>
      <c r="Q101" s="16"/>
      <c r="R101" s="16"/>
      <c r="S101" s="16"/>
      <c r="T101" s="16"/>
    </row>
    <row r="102" customFormat="false" ht="15" hidden="false" customHeight="false" outlineLevel="0" collapsed="false">
      <c r="A102" s="16"/>
      <c r="B102" s="16"/>
      <c r="C102" s="16"/>
      <c r="D102" s="16"/>
      <c r="E102" s="16"/>
      <c r="F102" s="16"/>
      <c r="G102" s="16"/>
      <c r="H102" s="16"/>
      <c r="I102" s="16"/>
      <c r="J102" s="4" t="str">
        <f aca="false">IF(OR(H102="",I102=""),"",I102-H102)</f>
        <v/>
      </c>
      <c r="K102" s="4" t="str">
        <f aca="false">IF(J102="","",IF(ABS(J102)&lt;=1,"Yes","No"))</f>
        <v/>
      </c>
      <c r="L102" s="4" t="str">
        <f aca="false">IF(J102="","",IF(ABS(J102)&lt;=2,"Yes","No"))</f>
        <v/>
      </c>
      <c r="M102" s="16"/>
      <c r="N102" s="16"/>
      <c r="O102" s="4" t="str">
        <f aca="false">IF(OR(H102="",N102=""),"",ABS(N102-H102))</f>
        <v/>
      </c>
      <c r="P102" s="4" t="str">
        <f aca="false">IF(J102="","",ABS(J102))</f>
        <v/>
      </c>
      <c r="Q102" s="16"/>
      <c r="R102" s="16"/>
      <c r="S102" s="16"/>
      <c r="T102" s="16"/>
    </row>
    <row r="103" customFormat="false" ht="15" hidden="false" customHeight="false" outlineLevel="0" collapsed="false">
      <c r="A103" s="16"/>
      <c r="B103" s="16"/>
      <c r="C103" s="16"/>
      <c r="D103" s="16"/>
      <c r="E103" s="16"/>
      <c r="F103" s="16"/>
      <c r="G103" s="16"/>
      <c r="H103" s="16"/>
      <c r="I103" s="16"/>
      <c r="J103" s="4" t="str">
        <f aca="false">IF(OR(H103="",I103=""),"",I103-H103)</f>
        <v/>
      </c>
      <c r="K103" s="4" t="str">
        <f aca="false">IF(J103="","",IF(ABS(J103)&lt;=1,"Yes","No"))</f>
        <v/>
      </c>
      <c r="L103" s="4" t="str">
        <f aca="false">IF(J103="","",IF(ABS(J103)&lt;=2,"Yes","No"))</f>
        <v/>
      </c>
      <c r="M103" s="16"/>
      <c r="N103" s="16"/>
      <c r="O103" s="4" t="str">
        <f aca="false">IF(OR(H103="",N103=""),"",ABS(N103-H103))</f>
        <v/>
      </c>
      <c r="P103" s="4" t="str">
        <f aca="false">IF(J103="","",ABS(J103))</f>
        <v/>
      </c>
      <c r="Q103" s="16"/>
      <c r="R103" s="16"/>
      <c r="S103" s="16"/>
      <c r="T103" s="16"/>
    </row>
    <row r="104" customFormat="false" ht="15" hidden="false" customHeight="false" outlineLevel="0" collapsed="false">
      <c r="A104" s="16"/>
      <c r="B104" s="16"/>
      <c r="C104" s="16"/>
      <c r="D104" s="16"/>
      <c r="E104" s="16"/>
      <c r="F104" s="16"/>
      <c r="G104" s="16"/>
      <c r="H104" s="16"/>
      <c r="I104" s="16"/>
      <c r="J104" s="4" t="str">
        <f aca="false">IF(OR(H104="",I104=""),"",I104-H104)</f>
        <v/>
      </c>
      <c r="K104" s="4" t="str">
        <f aca="false">IF(J104="","",IF(ABS(J104)&lt;=1,"Yes","No"))</f>
        <v/>
      </c>
      <c r="L104" s="4" t="str">
        <f aca="false">IF(J104="","",IF(ABS(J104)&lt;=2,"Yes","No"))</f>
        <v/>
      </c>
      <c r="M104" s="16"/>
      <c r="N104" s="16"/>
      <c r="O104" s="4" t="str">
        <f aca="false">IF(OR(H104="",N104=""),"",ABS(N104-H104))</f>
        <v/>
      </c>
      <c r="P104" s="4" t="str">
        <f aca="false">IF(J104="","",ABS(J104))</f>
        <v/>
      </c>
      <c r="Q104" s="16"/>
      <c r="R104" s="16"/>
      <c r="S104" s="16"/>
      <c r="T104" s="16"/>
    </row>
    <row r="105" customFormat="false" ht="15" hidden="false" customHeight="false" outlineLevel="0" collapsed="false">
      <c r="A105" s="16"/>
      <c r="B105" s="16"/>
      <c r="C105" s="16"/>
      <c r="D105" s="16"/>
      <c r="E105" s="16"/>
      <c r="F105" s="16"/>
      <c r="G105" s="16"/>
      <c r="H105" s="16"/>
      <c r="I105" s="16"/>
      <c r="J105" s="4" t="str">
        <f aca="false">IF(OR(H105="",I105=""),"",I105-H105)</f>
        <v/>
      </c>
      <c r="K105" s="4" t="str">
        <f aca="false">IF(J105="","",IF(ABS(J105)&lt;=1,"Yes","No"))</f>
        <v/>
      </c>
      <c r="L105" s="4" t="str">
        <f aca="false">IF(J105="","",IF(ABS(J105)&lt;=2,"Yes","No"))</f>
        <v/>
      </c>
      <c r="M105" s="16"/>
      <c r="N105" s="16"/>
      <c r="O105" s="4" t="str">
        <f aca="false">IF(OR(H105="",N105=""),"",ABS(N105-H105))</f>
        <v/>
      </c>
      <c r="P105" s="4" t="str">
        <f aca="false">IF(J105="","",ABS(J105))</f>
        <v/>
      </c>
      <c r="Q105" s="16"/>
      <c r="R105" s="16"/>
      <c r="S105" s="16"/>
      <c r="T105" s="16"/>
    </row>
    <row r="106" customFormat="false" ht="15" hidden="false" customHeight="false" outlineLevel="0" collapsed="false">
      <c r="A106" s="16"/>
      <c r="B106" s="16"/>
      <c r="C106" s="16"/>
      <c r="D106" s="16"/>
      <c r="E106" s="16"/>
      <c r="F106" s="16"/>
      <c r="G106" s="16"/>
      <c r="H106" s="16"/>
      <c r="I106" s="16"/>
      <c r="J106" s="4" t="str">
        <f aca="false">IF(OR(H106="",I106=""),"",I106-H106)</f>
        <v/>
      </c>
      <c r="K106" s="4" t="str">
        <f aca="false">IF(J106="","",IF(ABS(J106)&lt;=1,"Yes","No"))</f>
        <v/>
      </c>
      <c r="L106" s="4" t="str">
        <f aca="false">IF(J106="","",IF(ABS(J106)&lt;=2,"Yes","No"))</f>
        <v/>
      </c>
      <c r="M106" s="16"/>
      <c r="N106" s="16"/>
      <c r="O106" s="4" t="str">
        <f aca="false">IF(OR(H106="",N106=""),"",ABS(N106-H106))</f>
        <v/>
      </c>
      <c r="P106" s="4" t="str">
        <f aca="false">IF(J106="","",ABS(J106))</f>
        <v/>
      </c>
      <c r="Q106" s="16"/>
      <c r="R106" s="16"/>
      <c r="S106" s="16"/>
      <c r="T106" s="16"/>
    </row>
    <row r="107" customFormat="false" ht="15" hidden="false" customHeight="false" outlineLevel="0" collapsed="false">
      <c r="A107" s="16"/>
      <c r="B107" s="16"/>
      <c r="C107" s="16"/>
      <c r="D107" s="16"/>
      <c r="E107" s="16"/>
      <c r="F107" s="16"/>
      <c r="G107" s="16"/>
      <c r="H107" s="16"/>
      <c r="I107" s="16"/>
      <c r="J107" s="4" t="str">
        <f aca="false">IF(OR(H107="",I107=""),"",I107-H107)</f>
        <v/>
      </c>
      <c r="K107" s="4" t="str">
        <f aca="false">IF(J107="","",IF(ABS(J107)&lt;=1,"Yes","No"))</f>
        <v/>
      </c>
      <c r="L107" s="4" t="str">
        <f aca="false">IF(J107="","",IF(ABS(J107)&lt;=2,"Yes","No"))</f>
        <v/>
      </c>
      <c r="M107" s="16"/>
      <c r="N107" s="16"/>
      <c r="O107" s="4" t="str">
        <f aca="false">IF(OR(H107="",N107=""),"",ABS(N107-H107))</f>
        <v/>
      </c>
      <c r="P107" s="4" t="str">
        <f aca="false">IF(J107="","",ABS(J107))</f>
        <v/>
      </c>
      <c r="Q107" s="16"/>
      <c r="R107" s="16"/>
      <c r="S107" s="16"/>
      <c r="T107" s="16"/>
    </row>
    <row r="108" customFormat="false" ht="15" hidden="false" customHeight="false" outlineLevel="0" collapsed="false">
      <c r="A108" s="16"/>
      <c r="B108" s="16"/>
      <c r="C108" s="16"/>
      <c r="D108" s="16"/>
      <c r="E108" s="16"/>
      <c r="F108" s="16"/>
      <c r="G108" s="16"/>
      <c r="H108" s="16"/>
      <c r="I108" s="16"/>
      <c r="J108" s="4" t="str">
        <f aca="false">IF(OR(H108="",I108=""),"",I108-H108)</f>
        <v/>
      </c>
      <c r="K108" s="4" t="str">
        <f aca="false">IF(J108="","",IF(ABS(J108)&lt;=1,"Yes","No"))</f>
        <v/>
      </c>
      <c r="L108" s="4" t="str">
        <f aca="false">IF(J108="","",IF(ABS(J108)&lt;=2,"Yes","No"))</f>
        <v/>
      </c>
      <c r="M108" s="16"/>
      <c r="N108" s="16"/>
      <c r="O108" s="4" t="str">
        <f aca="false">IF(OR(H108="",N108=""),"",ABS(N108-H108))</f>
        <v/>
      </c>
      <c r="P108" s="4" t="str">
        <f aca="false">IF(J108="","",ABS(J108))</f>
        <v/>
      </c>
      <c r="Q108" s="16"/>
      <c r="R108" s="16"/>
      <c r="S108" s="16"/>
      <c r="T108" s="16"/>
    </row>
    <row r="109" customFormat="false" ht="15" hidden="false" customHeight="false" outlineLevel="0" collapsed="false">
      <c r="A109" s="16"/>
      <c r="B109" s="16"/>
      <c r="C109" s="16"/>
      <c r="D109" s="16"/>
      <c r="E109" s="16"/>
      <c r="F109" s="16"/>
      <c r="G109" s="16"/>
      <c r="H109" s="16"/>
      <c r="I109" s="16"/>
      <c r="J109" s="4" t="str">
        <f aca="false">IF(OR(H109="",I109=""),"",I109-H109)</f>
        <v/>
      </c>
      <c r="K109" s="4" t="str">
        <f aca="false">IF(J109="","",IF(ABS(J109)&lt;=1,"Yes","No"))</f>
        <v/>
      </c>
      <c r="L109" s="4" t="str">
        <f aca="false">IF(J109="","",IF(ABS(J109)&lt;=2,"Yes","No"))</f>
        <v/>
      </c>
      <c r="M109" s="16"/>
      <c r="N109" s="16"/>
      <c r="O109" s="4" t="str">
        <f aca="false">IF(OR(H109="",N109=""),"",ABS(N109-H109))</f>
        <v/>
      </c>
      <c r="P109" s="4" t="str">
        <f aca="false">IF(J109="","",ABS(J109))</f>
        <v/>
      </c>
      <c r="Q109" s="16"/>
      <c r="R109" s="16"/>
      <c r="S109" s="16"/>
      <c r="T109" s="16"/>
    </row>
    <row r="110" customFormat="false" ht="15" hidden="false" customHeight="false" outlineLevel="0" collapsed="false">
      <c r="A110" s="16"/>
      <c r="B110" s="16"/>
      <c r="C110" s="16"/>
      <c r="D110" s="16"/>
      <c r="E110" s="16"/>
      <c r="F110" s="16"/>
      <c r="G110" s="16"/>
      <c r="H110" s="16"/>
      <c r="I110" s="16"/>
      <c r="J110" s="4" t="str">
        <f aca="false">IF(OR(H110="",I110=""),"",I110-H110)</f>
        <v/>
      </c>
      <c r="K110" s="4" t="str">
        <f aca="false">IF(J110="","",IF(ABS(J110)&lt;=1,"Yes","No"))</f>
        <v/>
      </c>
      <c r="L110" s="4" t="str">
        <f aca="false">IF(J110="","",IF(ABS(J110)&lt;=2,"Yes","No"))</f>
        <v/>
      </c>
      <c r="M110" s="16"/>
      <c r="N110" s="16"/>
      <c r="O110" s="4" t="str">
        <f aca="false">IF(OR(H110="",N110=""),"",ABS(N110-H110))</f>
        <v/>
      </c>
      <c r="P110" s="4" t="str">
        <f aca="false">IF(J110="","",ABS(J110))</f>
        <v/>
      </c>
      <c r="Q110" s="16"/>
      <c r="R110" s="16"/>
      <c r="S110" s="16"/>
      <c r="T110" s="16"/>
    </row>
    <row r="111" customFormat="false" ht="15" hidden="false" customHeight="false" outlineLevel="0" collapsed="false">
      <c r="A111" s="16"/>
      <c r="B111" s="16"/>
      <c r="C111" s="16"/>
      <c r="D111" s="16"/>
      <c r="E111" s="16"/>
      <c r="F111" s="16"/>
      <c r="G111" s="16"/>
      <c r="H111" s="16"/>
      <c r="I111" s="16"/>
      <c r="J111" s="4" t="str">
        <f aca="false">IF(OR(H111="",I111=""),"",I111-H111)</f>
        <v/>
      </c>
      <c r="K111" s="4" t="str">
        <f aca="false">IF(J111="","",IF(ABS(J111)&lt;=1,"Yes","No"))</f>
        <v/>
      </c>
      <c r="L111" s="4" t="str">
        <f aca="false">IF(J111="","",IF(ABS(J111)&lt;=2,"Yes","No"))</f>
        <v/>
      </c>
      <c r="M111" s="16"/>
      <c r="N111" s="16"/>
      <c r="O111" s="4" t="str">
        <f aca="false">IF(OR(H111="",N111=""),"",ABS(N111-H111))</f>
        <v/>
      </c>
      <c r="P111" s="4" t="str">
        <f aca="false">IF(J111="","",ABS(J111))</f>
        <v/>
      </c>
      <c r="Q111" s="16"/>
      <c r="R111" s="16"/>
      <c r="S111" s="16"/>
      <c r="T111" s="16"/>
    </row>
    <row r="112" customFormat="false" ht="15" hidden="false" customHeight="false" outlineLevel="0" collapsed="false">
      <c r="A112" s="16"/>
      <c r="B112" s="16"/>
      <c r="C112" s="16"/>
      <c r="D112" s="16"/>
      <c r="E112" s="16"/>
      <c r="F112" s="16"/>
      <c r="G112" s="16"/>
      <c r="H112" s="16"/>
      <c r="I112" s="16"/>
      <c r="J112" s="4" t="str">
        <f aca="false">IF(OR(H112="",I112=""),"",I112-H112)</f>
        <v/>
      </c>
      <c r="K112" s="4" t="str">
        <f aca="false">IF(J112="","",IF(ABS(J112)&lt;=1,"Yes","No"))</f>
        <v/>
      </c>
      <c r="L112" s="4" t="str">
        <f aca="false">IF(J112="","",IF(ABS(J112)&lt;=2,"Yes","No"))</f>
        <v/>
      </c>
      <c r="M112" s="16"/>
      <c r="N112" s="16"/>
      <c r="O112" s="4" t="str">
        <f aca="false">IF(OR(H112="",N112=""),"",ABS(N112-H112))</f>
        <v/>
      </c>
      <c r="P112" s="4" t="str">
        <f aca="false">IF(J112="","",ABS(J112))</f>
        <v/>
      </c>
      <c r="Q112" s="16"/>
      <c r="R112" s="16"/>
      <c r="S112" s="16"/>
      <c r="T112" s="16"/>
    </row>
    <row r="113" customFormat="false" ht="15" hidden="false" customHeight="false" outlineLevel="0" collapsed="false">
      <c r="A113" s="16"/>
      <c r="B113" s="16"/>
      <c r="C113" s="16"/>
      <c r="D113" s="16"/>
      <c r="E113" s="16"/>
      <c r="F113" s="16"/>
      <c r="G113" s="16"/>
      <c r="H113" s="16"/>
      <c r="I113" s="16"/>
      <c r="J113" s="4" t="str">
        <f aca="false">IF(OR(H113="",I113=""),"",I113-H113)</f>
        <v/>
      </c>
      <c r="K113" s="4" t="str">
        <f aca="false">IF(J113="","",IF(ABS(J113)&lt;=1,"Yes","No"))</f>
        <v/>
      </c>
      <c r="L113" s="4" t="str">
        <f aca="false">IF(J113="","",IF(ABS(J113)&lt;=2,"Yes","No"))</f>
        <v/>
      </c>
      <c r="M113" s="16"/>
      <c r="N113" s="16"/>
      <c r="O113" s="4" t="str">
        <f aca="false">IF(OR(H113="",N113=""),"",ABS(N113-H113))</f>
        <v/>
      </c>
      <c r="P113" s="4" t="str">
        <f aca="false">IF(J113="","",ABS(J113))</f>
        <v/>
      </c>
      <c r="Q113" s="16"/>
      <c r="R113" s="16"/>
      <c r="S113" s="16"/>
      <c r="T113" s="16"/>
    </row>
    <row r="114" customFormat="false" ht="15" hidden="false" customHeight="false" outlineLevel="0" collapsed="false">
      <c r="A114" s="16"/>
      <c r="B114" s="16"/>
      <c r="C114" s="16"/>
      <c r="D114" s="16"/>
      <c r="E114" s="16"/>
      <c r="F114" s="16"/>
      <c r="G114" s="16"/>
      <c r="H114" s="16"/>
      <c r="I114" s="16"/>
      <c r="J114" s="4" t="str">
        <f aca="false">IF(OR(H114="",I114=""),"",I114-H114)</f>
        <v/>
      </c>
      <c r="K114" s="4" t="str">
        <f aca="false">IF(J114="","",IF(ABS(J114)&lt;=1,"Yes","No"))</f>
        <v/>
      </c>
      <c r="L114" s="4" t="str">
        <f aca="false">IF(J114="","",IF(ABS(J114)&lt;=2,"Yes","No"))</f>
        <v/>
      </c>
      <c r="M114" s="16"/>
      <c r="N114" s="16"/>
      <c r="O114" s="4" t="str">
        <f aca="false">IF(OR(H114="",N114=""),"",ABS(N114-H114))</f>
        <v/>
      </c>
      <c r="P114" s="4" t="str">
        <f aca="false">IF(J114="","",ABS(J114))</f>
        <v/>
      </c>
      <c r="Q114" s="16"/>
      <c r="R114" s="16"/>
      <c r="S114" s="16"/>
      <c r="T114" s="16"/>
    </row>
    <row r="115" customFormat="false" ht="15" hidden="false" customHeight="false" outlineLevel="0" collapsed="false">
      <c r="A115" s="16"/>
      <c r="B115" s="16"/>
      <c r="C115" s="16"/>
      <c r="D115" s="16"/>
      <c r="E115" s="16"/>
      <c r="F115" s="16"/>
      <c r="G115" s="16"/>
      <c r="H115" s="16"/>
      <c r="I115" s="16"/>
      <c r="J115" s="4" t="str">
        <f aca="false">IF(OR(H115="",I115=""),"",I115-H115)</f>
        <v/>
      </c>
      <c r="K115" s="4" t="str">
        <f aca="false">IF(J115="","",IF(ABS(J115)&lt;=1,"Yes","No"))</f>
        <v/>
      </c>
      <c r="L115" s="4" t="str">
        <f aca="false">IF(J115="","",IF(ABS(J115)&lt;=2,"Yes","No"))</f>
        <v/>
      </c>
      <c r="M115" s="16"/>
      <c r="N115" s="16"/>
      <c r="O115" s="4" t="str">
        <f aca="false">IF(OR(H115="",N115=""),"",ABS(N115-H115))</f>
        <v/>
      </c>
      <c r="P115" s="4" t="str">
        <f aca="false">IF(J115="","",ABS(J115))</f>
        <v/>
      </c>
      <c r="Q115" s="16"/>
      <c r="R115" s="16"/>
      <c r="S115" s="16"/>
      <c r="T115" s="16"/>
    </row>
    <row r="116" customFormat="false" ht="15" hidden="false" customHeight="false" outlineLevel="0" collapsed="false">
      <c r="A116" s="16"/>
      <c r="B116" s="16"/>
      <c r="C116" s="16"/>
      <c r="D116" s="16"/>
      <c r="E116" s="16"/>
      <c r="F116" s="16"/>
      <c r="G116" s="16"/>
      <c r="H116" s="16"/>
      <c r="I116" s="16"/>
      <c r="J116" s="4" t="str">
        <f aca="false">IF(OR(H116="",I116=""),"",I116-H116)</f>
        <v/>
      </c>
      <c r="K116" s="4" t="str">
        <f aca="false">IF(J116="","",IF(ABS(J116)&lt;=1,"Yes","No"))</f>
        <v/>
      </c>
      <c r="L116" s="4" t="str">
        <f aca="false">IF(J116="","",IF(ABS(J116)&lt;=2,"Yes","No"))</f>
        <v/>
      </c>
      <c r="M116" s="16"/>
      <c r="N116" s="16"/>
      <c r="O116" s="4" t="str">
        <f aca="false">IF(OR(H116="",N116=""),"",ABS(N116-H116))</f>
        <v/>
      </c>
      <c r="P116" s="4" t="str">
        <f aca="false">IF(J116="","",ABS(J116))</f>
        <v/>
      </c>
      <c r="Q116" s="16"/>
      <c r="R116" s="16"/>
      <c r="S116" s="16"/>
      <c r="T116" s="16"/>
    </row>
    <row r="117" customFormat="false" ht="15" hidden="false" customHeight="false" outlineLevel="0" collapsed="false">
      <c r="A117" s="16"/>
      <c r="B117" s="16"/>
      <c r="C117" s="16"/>
      <c r="D117" s="16"/>
      <c r="E117" s="16"/>
      <c r="F117" s="16"/>
      <c r="G117" s="16"/>
      <c r="H117" s="16"/>
      <c r="I117" s="16"/>
      <c r="J117" s="4" t="str">
        <f aca="false">IF(OR(H117="",I117=""),"",I117-H117)</f>
        <v/>
      </c>
      <c r="K117" s="4" t="str">
        <f aca="false">IF(J117="","",IF(ABS(J117)&lt;=1,"Yes","No"))</f>
        <v/>
      </c>
      <c r="L117" s="4" t="str">
        <f aca="false">IF(J117="","",IF(ABS(J117)&lt;=2,"Yes","No"))</f>
        <v/>
      </c>
      <c r="M117" s="16"/>
      <c r="N117" s="16"/>
      <c r="O117" s="4" t="str">
        <f aca="false">IF(OR(H117="",N117=""),"",ABS(N117-H117))</f>
        <v/>
      </c>
      <c r="P117" s="4" t="str">
        <f aca="false">IF(J117="","",ABS(J117))</f>
        <v/>
      </c>
      <c r="Q117" s="16"/>
      <c r="R117" s="16"/>
      <c r="S117" s="16"/>
      <c r="T117" s="16"/>
    </row>
    <row r="118" customFormat="false" ht="15" hidden="false" customHeight="false" outlineLevel="0" collapsed="false">
      <c r="A118" s="16"/>
      <c r="B118" s="16"/>
      <c r="C118" s="16"/>
      <c r="D118" s="16"/>
      <c r="E118" s="16"/>
      <c r="F118" s="16"/>
      <c r="G118" s="16"/>
      <c r="H118" s="16"/>
      <c r="I118" s="16"/>
      <c r="J118" s="4" t="str">
        <f aca="false">IF(OR(H118="",I118=""),"",I118-H118)</f>
        <v/>
      </c>
      <c r="K118" s="4" t="str">
        <f aca="false">IF(J118="","",IF(ABS(J118)&lt;=1,"Yes","No"))</f>
        <v/>
      </c>
      <c r="L118" s="4" t="str">
        <f aca="false">IF(J118="","",IF(ABS(J118)&lt;=2,"Yes","No"))</f>
        <v/>
      </c>
      <c r="M118" s="16"/>
      <c r="N118" s="16"/>
      <c r="O118" s="4" t="str">
        <f aca="false">IF(OR(H118="",N118=""),"",ABS(N118-H118))</f>
        <v/>
      </c>
      <c r="P118" s="4" t="str">
        <f aca="false">IF(J118="","",ABS(J118))</f>
        <v/>
      </c>
      <c r="Q118" s="16"/>
      <c r="R118" s="16"/>
      <c r="S118" s="16"/>
      <c r="T118" s="16"/>
    </row>
    <row r="119" customFormat="false" ht="15" hidden="false" customHeight="false" outlineLevel="0" collapsed="false">
      <c r="A119" s="16"/>
      <c r="B119" s="16"/>
      <c r="C119" s="16"/>
      <c r="D119" s="16"/>
      <c r="E119" s="16"/>
      <c r="F119" s="16"/>
      <c r="G119" s="16"/>
      <c r="H119" s="16"/>
      <c r="I119" s="16"/>
      <c r="J119" s="4" t="str">
        <f aca="false">IF(OR(H119="",I119=""),"",I119-H119)</f>
        <v/>
      </c>
      <c r="K119" s="4" t="str">
        <f aca="false">IF(J119="","",IF(ABS(J119)&lt;=1,"Yes","No"))</f>
        <v/>
      </c>
      <c r="L119" s="4" t="str">
        <f aca="false">IF(J119="","",IF(ABS(J119)&lt;=2,"Yes","No"))</f>
        <v/>
      </c>
      <c r="M119" s="16"/>
      <c r="N119" s="16"/>
      <c r="O119" s="4" t="str">
        <f aca="false">IF(OR(H119="",N119=""),"",ABS(N119-H119))</f>
        <v/>
      </c>
      <c r="P119" s="4" t="str">
        <f aca="false">IF(J119="","",ABS(J119))</f>
        <v/>
      </c>
      <c r="Q119" s="16"/>
      <c r="R119" s="16"/>
      <c r="S119" s="16"/>
      <c r="T119" s="16"/>
    </row>
    <row r="120" customFormat="false" ht="15" hidden="false" customHeight="false" outlineLevel="0" collapsed="false">
      <c r="A120" s="16"/>
      <c r="B120" s="16"/>
      <c r="C120" s="16"/>
      <c r="D120" s="16"/>
      <c r="E120" s="16"/>
      <c r="F120" s="16"/>
      <c r="G120" s="16"/>
      <c r="H120" s="16"/>
      <c r="I120" s="16"/>
      <c r="J120" s="4" t="str">
        <f aca="false">IF(OR(H120="",I120=""),"",I120-H120)</f>
        <v/>
      </c>
      <c r="K120" s="4" t="str">
        <f aca="false">IF(J120="","",IF(ABS(J120)&lt;=1,"Yes","No"))</f>
        <v/>
      </c>
      <c r="L120" s="4" t="str">
        <f aca="false">IF(J120="","",IF(ABS(J120)&lt;=2,"Yes","No"))</f>
        <v/>
      </c>
      <c r="M120" s="16"/>
      <c r="N120" s="16"/>
      <c r="O120" s="4" t="str">
        <f aca="false">IF(OR(H120="",N120=""),"",ABS(N120-H120))</f>
        <v/>
      </c>
      <c r="P120" s="4" t="str">
        <f aca="false">IF(J120="","",ABS(J120))</f>
        <v/>
      </c>
      <c r="Q120" s="16"/>
      <c r="R120" s="16"/>
      <c r="S120" s="16"/>
      <c r="T120" s="16"/>
    </row>
    <row r="121" customFormat="false" ht="15" hidden="false" customHeight="false" outlineLevel="0" collapsed="false">
      <c r="A121" s="16"/>
      <c r="B121" s="16"/>
      <c r="C121" s="16"/>
      <c r="D121" s="16"/>
      <c r="E121" s="16"/>
      <c r="F121" s="16"/>
      <c r="G121" s="16"/>
      <c r="H121" s="16"/>
      <c r="I121" s="16"/>
      <c r="J121" s="4" t="str">
        <f aca="false">IF(OR(H121="",I121=""),"",I121-H121)</f>
        <v/>
      </c>
      <c r="K121" s="4" t="str">
        <f aca="false">IF(J121="","",IF(ABS(J121)&lt;=1,"Yes","No"))</f>
        <v/>
      </c>
      <c r="L121" s="4" t="str">
        <f aca="false">IF(J121="","",IF(ABS(J121)&lt;=2,"Yes","No"))</f>
        <v/>
      </c>
      <c r="M121" s="16"/>
      <c r="N121" s="16"/>
      <c r="O121" s="4" t="str">
        <f aca="false">IF(OR(H121="",N121=""),"",ABS(N121-H121))</f>
        <v/>
      </c>
      <c r="P121" s="4" t="str">
        <f aca="false">IF(J121="","",ABS(J121))</f>
        <v/>
      </c>
      <c r="Q121" s="16"/>
      <c r="R121" s="16"/>
      <c r="S121" s="16"/>
      <c r="T121" s="16"/>
    </row>
    <row r="122" customFormat="false" ht="15" hidden="false" customHeight="false" outlineLevel="0" collapsed="false">
      <c r="A122" s="16"/>
      <c r="B122" s="16"/>
      <c r="C122" s="16"/>
      <c r="D122" s="16"/>
      <c r="E122" s="16"/>
      <c r="F122" s="16"/>
      <c r="G122" s="16"/>
      <c r="H122" s="16"/>
      <c r="I122" s="16"/>
      <c r="J122" s="4" t="str">
        <f aca="false">IF(OR(H122="",I122=""),"",I122-H122)</f>
        <v/>
      </c>
      <c r="K122" s="4" t="str">
        <f aca="false">IF(J122="","",IF(ABS(J122)&lt;=1,"Yes","No"))</f>
        <v/>
      </c>
      <c r="L122" s="4" t="str">
        <f aca="false">IF(J122="","",IF(ABS(J122)&lt;=2,"Yes","No"))</f>
        <v/>
      </c>
      <c r="M122" s="16"/>
      <c r="N122" s="16"/>
      <c r="O122" s="4" t="str">
        <f aca="false">IF(OR(H122="",N122=""),"",ABS(N122-H122))</f>
        <v/>
      </c>
      <c r="P122" s="4" t="str">
        <f aca="false">IF(J122="","",ABS(J122))</f>
        <v/>
      </c>
      <c r="Q122" s="16"/>
      <c r="R122" s="16"/>
      <c r="S122" s="16"/>
      <c r="T122" s="16"/>
    </row>
    <row r="123" customFormat="false" ht="15" hidden="false" customHeight="false" outlineLevel="0" collapsed="false">
      <c r="A123" s="16"/>
      <c r="B123" s="16"/>
      <c r="C123" s="16"/>
      <c r="D123" s="16"/>
      <c r="E123" s="16"/>
      <c r="F123" s="16"/>
      <c r="G123" s="16"/>
      <c r="H123" s="16"/>
      <c r="I123" s="16"/>
      <c r="J123" s="4" t="str">
        <f aca="false">IF(OR(H123="",I123=""),"",I123-H123)</f>
        <v/>
      </c>
      <c r="K123" s="4" t="str">
        <f aca="false">IF(J123="","",IF(ABS(J123)&lt;=1,"Yes","No"))</f>
        <v/>
      </c>
      <c r="L123" s="4" t="str">
        <f aca="false">IF(J123="","",IF(ABS(J123)&lt;=2,"Yes","No"))</f>
        <v/>
      </c>
      <c r="M123" s="16"/>
      <c r="N123" s="16"/>
      <c r="O123" s="4" t="str">
        <f aca="false">IF(OR(H123="",N123=""),"",ABS(N123-H123))</f>
        <v/>
      </c>
      <c r="P123" s="4" t="str">
        <f aca="false">IF(J123="","",ABS(J123))</f>
        <v/>
      </c>
      <c r="Q123" s="16"/>
      <c r="R123" s="16"/>
      <c r="S123" s="16"/>
      <c r="T123" s="16"/>
    </row>
    <row r="124" customFormat="false" ht="15" hidden="false" customHeight="false" outlineLevel="0" collapsed="false">
      <c r="A124" s="16"/>
      <c r="B124" s="16"/>
      <c r="C124" s="16"/>
      <c r="D124" s="16"/>
      <c r="E124" s="16"/>
      <c r="F124" s="16"/>
      <c r="G124" s="16"/>
      <c r="H124" s="16"/>
      <c r="I124" s="16"/>
      <c r="J124" s="4" t="str">
        <f aca="false">IF(OR(H124="",I124=""),"",I124-H124)</f>
        <v/>
      </c>
      <c r="K124" s="4" t="str">
        <f aca="false">IF(J124="","",IF(ABS(J124)&lt;=1,"Yes","No"))</f>
        <v/>
      </c>
      <c r="L124" s="4" t="str">
        <f aca="false">IF(J124="","",IF(ABS(J124)&lt;=2,"Yes","No"))</f>
        <v/>
      </c>
      <c r="M124" s="16"/>
      <c r="N124" s="16"/>
      <c r="O124" s="4" t="str">
        <f aca="false">IF(OR(H124="",N124=""),"",ABS(N124-H124))</f>
        <v/>
      </c>
      <c r="P124" s="4" t="str">
        <f aca="false">IF(J124="","",ABS(J124))</f>
        <v/>
      </c>
      <c r="Q124" s="16"/>
      <c r="R124" s="16"/>
      <c r="S124" s="16"/>
      <c r="T124" s="16"/>
    </row>
    <row r="125" customFormat="false" ht="15" hidden="false" customHeight="false" outlineLevel="0" collapsed="false">
      <c r="A125" s="16"/>
      <c r="B125" s="16"/>
      <c r="C125" s="16"/>
      <c r="D125" s="16"/>
      <c r="E125" s="16"/>
      <c r="F125" s="16"/>
      <c r="G125" s="16"/>
      <c r="H125" s="16"/>
      <c r="I125" s="16"/>
      <c r="J125" s="4" t="str">
        <f aca="false">IF(OR(H125="",I125=""),"",I125-H125)</f>
        <v/>
      </c>
      <c r="K125" s="4" t="str">
        <f aca="false">IF(J125="","",IF(ABS(J125)&lt;=1,"Yes","No"))</f>
        <v/>
      </c>
      <c r="L125" s="4" t="str">
        <f aca="false">IF(J125="","",IF(ABS(J125)&lt;=2,"Yes","No"))</f>
        <v/>
      </c>
      <c r="M125" s="16"/>
      <c r="N125" s="16"/>
      <c r="O125" s="4" t="str">
        <f aca="false">IF(OR(H125="",N125=""),"",ABS(N125-H125))</f>
        <v/>
      </c>
      <c r="P125" s="4" t="str">
        <f aca="false">IF(J125="","",ABS(J125))</f>
        <v/>
      </c>
      <c r="Q125" s="16"/>
      <c r="R125" s="16"/>
      <c r="S125" s="16"/>
      <c r="T125" s="16"/>
    </row>
    <row r="126" customFormat="false" ht="15" hidden="false" customHeight="false" outlineLevel="0" collapsed="false">
      <c r="A126" s="16"/>
      <c r="B126" s="16"/>
      <c r="C126" s="16"/>
      <c r="D126" s="16"/>
      <c r="E126" s="16"/>
      <c r="F126" s="16"/>
      <c r="G126" s="16"/>
      <c r="H126" s="16"/>
      <c r="I126" s="16"/>
      <c r="J126" s="4" t="str">
        <f aca="false">IF(OR(H126="",I126=""),"",I126-H126)</f>
        <v/>
      </c>
      <c r="K126" s="4" t="str">
        <f aca="false">IF(J126="","",IF(ABS(J126)&lt;=1,"Yes","No"))</f>
        <v/>
      </c>
      <c r="L126" s="4" t="str">
        <f aca="false">IF(J126="","",IF(ABS(J126)&lt;=2,"Yes","No"))</f>
        <v/>
      </c>
      <c r="M126" s="16"/>
      <c r="N126" s="16"/>
      <c r="O126" s="4" t="str">
        <f aca="false">IF(OR(H126="",N126=""),"",ABS(N126-H126))</f>
        <v/>
      </c>
      <c r="P126" s="4" t="str">
        <f aca="false">IF(J126="","",ABS(J126))</f>
        <v/>
      </c>
      <c r="Q126" s="16"/>
      <c r="R126" s="16"/>
      <c r="S126" s="16"/>
      <c r="T126" s="16"/>
    </row>
    <row r="127" customFormat="false" ht="15" hidden="false" customHeight="false" outlineLevel="0" collapsed="false">
      <c r="A127" s="16"/>
      <c r="B127" s="16"/>
      <c r="C127" s="16"/>
      <c r="D127" s="16"/>
      <c r="E127" s="16"/>
      <c r="F127" s="16"/>
      <c r="G127" s="16"/>
      <c r="H127" s="16"/>
      <c r="I127" s="16"/>
      <c r="J127" s="4" t="str">
        <f aca="false">IF(OR(H127="",I127=""),"",I127-H127)</f>
        <v/>
      </c>
      <c r="K127" s="4" t="str">
        <f aca="false">IF(J127="","",IF(ABS(J127)&lt;=1,"Yes","No"))</f>
        <v/>
      </c>
      <c r="L127" s="4" t="str">
        <f aca="false">IF(J127="","",IF(ABS(J127)&lt;=2,"Yes","No"))</f>
        <v/>
      </c>
      <c r="M127" s="16"/>
      <c r="N127" s="16"/>
      <c r="O127" s="4" t="str">
        <f aca="false">IF(OR(H127="",N127=""),"",ABS(N127-H127))</f>
        <v/>
      </c>
      <c r="P127" s="4" t="str">
        <f aca="false">IF(J127="","",ABS(J127))</f>
        <v/>
      </c>
      <c r="Q127" s="16"/>
      <c r="R127" s="16"/>
      <c r="S127" s="16"/>
      <c r="T127" s="16"/>
    </row>
    <row r="128" customFormat="false" ht="15" hidden="false" customHeight="false" outlineLevel="0" collapsed="false">
      <c r="A128" s="16"/>
      <c r="B128" s="16"/>
      <c r="C128" s="16"/>
      <c r="D128" s="16"/>
      <c r="E128" s="16"/>
      <c r="F128" s="16"/>
      <c r="G128" s="16"/>
      <c r="H128" s="16"/>
      <c r="I128" s="16"/>
      <c r="J128" s="4" t="str">
        <f aca="false">IF(OR(H128="",I128=""),"",I128-H128)</f>
        <v/>
      </c>
      <c r="K128" s="4" t="str">
        <f aca="false">IF(J128="","",IF(ABS(J128)&lt;=1,"Yes","No"))</f>
        <v/>
      </c>
      <c r="L128" s="4" t="str">
        <f aca="false">IF(J128="","",IF(ABS(J128)&lt;=2,"Yes","No"))</f>
        <v/>
      </c>
      <c r="M128" s="16"/>
      <c r="N128" s="16"/>
      <c r="O128" s="4" t="str">
        <f aca="false">IF(OR(H128="",N128=""),"",ABS(N128-H128))</f>
        <v/>
      </c>
      <c r="P128" s="4" t="str">
        <f aca="false">IF(J128="","",ABS(J128))</f>
        <v/>
      </c>
      <c r="Q128" s="16"/>
      <c r="R128" s="16"/>
      <c r="S128" s="16"/>
      <c r="T128" s="16"/>
    </row>
    <row r="129" customFormat="false" ht="15" hidden="false" customHeight="false" outlineLevel="0" collapsed="false">
      <c r="A129" s="16"/>
      <c r="B129" s="16"/>
      <c r="C129" s="16"/>
      <c r="D129" s="16"/>
      <c r="E129" s="16"/>
      <c r="F129" s="16"/>
      <c r="G129" s="16"/>
      <c r="H129" s="16"/>
      <c r="I129" s="16"/>
      <c r="J129" s="4" t="str">
        <f aca="false">IF(OR(H129="",I129=""),"",I129-H129)</f>
        <v/>
      </c>
      <c r="K129" s="4" t="str">
        <f aca="false">IF(J129="","",IF(ABS(J129)&lt;=1,"Yes","No"))</f>
        <v/>
      </c>
      <c r="L129" s="4" t="str">
        <f aca="false">IF(J129="","",IF(ABS(J129)&lt;=2,"Yes","No"))</f>
        <v/>
      </c>
      <c r="M129" s="16"/>
      <c r="N129" s="16"/>
      <c r="O129" s="4" t="str">
        <f aca="false">IF(OR(H129="",N129=""),"",ABS(N129-H129))</f>
        <v/>
      </c>
      <c r="P129" s="4" t="str">
        <f aca="false">IF(J129="","",ABS(J129))</f>
        <v/>
      </c>
      <c r="Q129" s="16"/>
      <c r="R129" s="16"/>
      <c r="S129" s="16"/>
      <c r="T129" s="16"/>
    </row>
    <row r="130" customFormat="false" ht="15" hidden="false" customHeight="false" outlineLevel="0" collapsed="false">
      <c r="A130" s="16"/>
      <c r="B130" s="16"/>
      <c r="C130" s="16"/>
      <c r="D130" s="16"/>
      <c r="E130" s="16"/>
      <c r="F130" s="16"/>
      <c r="G130" s="16"/>
      <c r="H130" s="16"/>
      <c r="I130" s="16"/>
      <c r="J130" s="4" t="str">
        <f aca="false">IF(OR(H130="",I130=""),"",I130-H130)</f>
        <v/>
      </c>
      <c r="K130" s="4" t="str">
        <f aca="false">IF(J130="","",IF(ABS(J130)&lt;=1,"Yes","No"))</f>
        <v/>
      </c>
      <c r="L130" s="4" t="str">
        <f aca="false">IF(J130="","",IF(ABS(J130)&lt;=2,"Yes","No"))</f>
        <v/>
      </c>
      <c r="M130" s="16"/>
      <c r="N130" s="16"/>
      <c r="O130" s="4" t="str">
        <f aca="false">IF(OR(H130="",N130=""),"",ABS(N130-H130))</f>
        <v/>
      </c>
      <c r="P130" s="4" t="str">
        <f aca="false">IF(J130="","",ABS(J130))</f>
        <v/>
      </c>
      <c r="Q130" s="16"/>
      <c r="R130" s="16"/>
      <c r="S130" s="16"/>
      <c r="T130" s="16"/>
    </row>
    <row r="131" customFormat="false" ht="15" hidden="false" customHeight="false" outlineLevel="0" collapsed="false">
      <c r="A131" s="16"/>
      <c r="B131" s="16"/>
      <c r="C131" s="16"/>
      <c r="D131" s="16"/>
      <c r="E131" s="16"/>
      <c r="F131" s="16"/>
      <c r="G131" s="16"/>
      <c r="H131" s="16"/>
      <c r="I131" s="16"/>
      <c r="J131" s="4" t="str">
        <f aca="false">IF(OR(H131="",I131=""),"",I131-H131)</f>
        <v/>
      </c>
      <c r="K131" s="4" t="str">
        <f aca="false">IF(J131="","",IF(ABS(J131)&lt;=1,"Yes","No"))</f>
        <v/>
      </c>
      <c r="L131" s="4" t="str">
        <f aca="false">IF(J131="","",IF(ABS(J131)&lt;=2,"Yes","No"))</f>
        <v/>
      </c>
      <c r="M131" s="16"/>
      <c r="N131" s="16"/>
      <c r="O131" s="4" t="str">
        <f aca="false">IF(OR(H131="",N131=""),"",ABS(N131-H131))</f>
        <v/>
      </c>
      <c r="P131" s="4" t="str">
        <f aca="false">IF(J131="","",ABS(J131))</f>
        <v/>
      </c>
      <c r="Q131" s="16"/>
      <c r="R131" s="16"/>
      <c r="S131" s="16"/>
      <c r="T131" s="16"/>
    </row>
    <row r="132" customFormat="false" ht="15" hidden="false" customHeight="false" outlineLevel="0" collapsed="false">
      <c r="A132" s="16"/>
      <c r="B132" s="16"/>
      <c r="C132" s="16"/>
      <c r="D132" s="16"/>
      <c r="E132" s="16"/>
      <c r="F132" s="16"/>
      <c r="G132" s="16"/>
      <c r="H132" s="16"/>
      <c r="I132" s="16"/>
      <c r="J132" s="4" t="str">
        <f aca="false">IF(OR(H132="",I132=""),"",I132-H132)</f>
        <v/>
      </c>
      <c r="K132" s="4" t="str">
        <f aca="false">IF(J132="","",IF(ABS(J132)&lt;=1,"Yes","No"))</f>
        <v/>
      </c>
      <c r="L132" s="4" t="str">
        <f aca="false">IF(J132="","",IF(ABS(J132)&lt;=2,"Yes","No"))</f>
        <v/>
      </c>
      <c r="M132" s="16"/>
      <c r="N132" s="16"/>
      <c r="O132" s="4" t="str">
        <f aca="false">IF(OR(H132="",N132=""),"",ABS(N132-H132))</f>
        <v/>
      </c>
      <c r="P132" s="4" t="str">
        <f aca="false">IF(J132="","",ABS(J132))</f>
        <v/>
      </c>
      <c r="Q132" s="16"/>
      <c r="R132" s="16"/>
      <c r="S132" s="16"/>
      <c r="T132" s="16"/>
    </row>
    <row r="133" customFormat="false" ht="15" hidden="false" customHeight="false" outlineLevel="0" collapsed="false">
      <c r="A133" s="16"/>
      <c r="B133" s="16"/>
      <c r="C133" s="16"/>
      <c r="D133" s="16"/>
      <c r="E133" s="16"/>
      <c r="F133" s="16"/>
      <c r="G133" s="16"/>
      <c r="H133" s="16"/>
      <c r="I133" s="16"/>
      <c r="J133" s="4" t="str">
        <f aca="false">IF(OR(H133="",I133=""),"",I133-H133)</f>
        <v/>
      </c>
      <c r="K133" s="4" t="str">
        <f aca="false">IF(J133="","",IF(ABS(J133)&lt;=1,"Yes","No"))</f>
        <v/>
      </c>
      <c r="L133" s="4" t="str">
        <f aca="false">IF(J133="","",IF(ABS(J133)&lt;=2,"Yes","No"))</f>
        <v/>
      </c>
      <c r="M133" s="16"/>
      <c r="N133" s="16"/>
      <c r="O133" s="4" t="str">
        <f aca="false">IF(OR(H133="",N133=""),"",ABS(N133-H133))</f>
        <v/>
      </c>
      <c r="P133" s="4" t="str">
        <f aca="false">IF(J133="","",ABS(J133))</f>
        <v/>
      </c>
      <c r="Q133" s="16"/>
      <c r="R133" s="16"/>
      <c r="S133" s="16"/>
      <c r="T133" s="16"/>
    </row>
    <row r="134" customFormat="false" ht="15" hidden="false" customHeight="false" outlineLevel="0" collapsed="false">
      <c r="A134" s="16"/>
      <c r="B134" s="16"/>
      <c r="C134" s="16"/>
      <c r="D134" s="16"/>
      <c r="E134" s="16"/>
      <c r="F134" s="16"/>
      <c r="G134" s="16"/>
      <c r="H134" s="16"/>
      <c r="I134" s="16"/>
      <c r="J134" s="4" t="str">
        <f aca="false">IF(OR(H134="",I134=""),"",I134-H134)</f>
        <v/>
      </c>
      <c r="K134" s="4" t="str">
        <f aca="false">IF(J134="","",IF(ABS(J134)&lt;=1,"Yes","No"))</f>
        <v/>
      </c>
      <c r="L134" s="4" t="str">
        <f aca="false">IF(J134="","",IF(ABS(J134)&lt;=2,"Yes","No"))</f>
        <v/>
      </c>
      <c r="M134" s="16"/>
      <c r="N134" s="16"/>
      <c r="O134" s="4" t="str">
        <f aca="false">IF(OR(H134="",N134=""),"",ABS(N134-H134))</f>
        <v/>
      </c>
      <c r="P134" s="4" t="str">
        <f aca="false">IF(J134="","",ABS(J134))</f>
        <v/>
      </c>
      <c r="Q134" s="16"/>
      <c r="R134" s="16"/>
      <c r="S134" s="16"/>
      <c r="T134" s="16"/>
    </row>
    <row r="135" customFormat="false" ht="15" hidden="false" customHeight="false" outlineLevel="0" collapsed="false">
      <c r="A135" s="16"/>
      <c r="B135" s="16"/>
      <c r="C135" s="16"/>
      <c r="D135" s="16"/>
      <c r="E135" s="16"/>
      <c r="F135" s="16"/>
      <c r="G135" s="16"/>
      <c r="H135" s="16"/>
      <c r="I135" s="16"/>
      <c r="J135" s="4" t="str">
        <f aca="false">IF(OR(H135="",I135=""),"",I135-H135)</f>
        <v/>
      </c>
      <c r="K135" s="4" t="str">
        <f aca="false">IF(J135="","",IF(ABS(J135)&lt;=1,"Yes","No"))</f>
        <v/>
      </c>
      <c r="L135" s="4" t="str">
        <f aca="false">IF(J135="","",IF(ABS(J135)&lt;=2,"Yes","No"))</f>
        <v/>
      </c>
      <c r="M135" s="16"/>
      <c r="N135" s="16"/>
      <c r="O135" s="4" t="str">
        <f aca="false">IF(OR(H135="",N135=""),"",ABS(N135-H135))</f>
        <v/>
      </c>
      <c r="P135" s="4" t="str">
        <f aca="false">IF(J135="","",ABS(J135))</f>
        <v/>
      </c>
      <c r="Q135" s="16"/>
      <c r="R135" s="16"/>
      <c r="S135" s="16"/>
      <c r="T135" s="16"/>
    </row>
    <row r="136" customFormat="false" ht="15" hidden="false" customHeight="false" outlineLevel="0" collapsed="false">
      <c r="A136" s="16"/>
      <c r="B136" s="16"/>
      <c r="C136" s="16"/>
      <c r="D136" s="16"/>
      <c r="E136" s="16"/>
      <c r="F136" s="16"/>
      <c r="G136" s="16"/>
      <c r="H136" s="16"/>
      <c r="I136" s="16"/>
      <c r="J136" s="4" t="str">
        <f aca="false">IF(OR(H136="",I136=""),"",I136-H136)</f>
        <v/>
      </c>
      <c r="K136" s="4" t="str">
        <f aca="false">IF(J136="","",IF(ABS(J136)&lt;=1,"Yes","No"))</f>
        <v/>
      </c>
      <c r="L136" s="4" t="str">
        <f aca="false">IF(J136="","",IF(ABS(J136)&lt;=2,"Yes","No"))</f>
        <v/>
      </c>
      <c r="M136" s="16"/>
      <c r="N136" s="16"/>
      <c r="O136" s="4" t="str">
        <f aca="false">IF(OR(H136="",N136=""),"",ABS(N136-H136))</f>
        <v/>
      </c>
      <c r="P136" s="4" t="str">
        <f aca="false">IF(J136="","",ABS(J136))</f>
        <v/>
      </c>
      <c r="Q136" s="16"/>
      <c r="R136" s="16"/>
      <c r="S136" s="16"/>
      <c r="T136" s="16"/>
    </row>
    <row r="137" customFormat="false" ht="15" hidden="false" customHeight="false" outlineLevel="0" collapsed="false">
      <c r="A137" s="16"/>
      <c r="B137" s="16"/>
      <c r="C137" s="16"/>
      <c r="D137" s="16"/>
      <c r="E137" s="16"/>
      <c r="F137" s="16"/>
      <c r="G137" s="16"/>
      <c r="H137" s="16"/>
      <c r="I137" s="16"/>
      <c r="J137" s="4" t="str">
        <f aca="false">IF(OR(H137="",I137=""),"",I137-H137)</f>
        <v/>
      </c>
      <c r="K137" s="4" t="str">
        <f aca="false">IF(J137="","",IF(ABS(J137)&lt;=1,"Yes","No"))</f>
        <v/>
      </c>
      <c r="L137" s="4" t="str">
        <f aca="false">IF(J137="","",IF(ABS(J137)&lt;=2,"Yes","No"))</f>
        <v/>
      </c>
      <c r="M137" s="16"/>
      <c r="N137" s="16"/>
      <c r="O137" s="4" t="str">
        <f aca="false">IF(OR(H137="",N137=""),"",ABS(N137-H137))</f>
        <v/>
      </c>
      <c r="P137" s="4" t="str">
        <f aca="false">IF(J137="","",ABS(J137))</f>
        <v/>
      </c>
      <c r="Q137" s="16"/>
      <c r="R137" s="16"/>
      <c r="S137" s="16"/>
      <c r="T137" s="16"/>
    </row>
    <row r="138" customFormat="false" ht="15" hidden="false" customHeight="false" outlineLevel="0" collapsed="false">
      <c r="A138" s="16"/>
      <c r="B138" s="16"/>
      <c r="C138" s="16"/>
      <c r="D138" s="16"/>
      <c r="E138" s="16"/>
      <c r="F138" s="16"/>
      <c r="G138" s="16"/>
      <c r="H138" s="16"/>
      <c r="I138" s="16"/>
      <c r="J138" s="4" t="str">
        <f aca="false">IF(OR(H138="",I138=""),"",I138-H138)</f>
        <v/>
      </c>
      <c r="K138" s="4" t="str">
        <f aca="false">IF(J138="","",IF(ABS(J138)&lt;=1,"Yes","No"))</f>
        <v/>
      </c>
      <c r="L138" s="4" t="str">
        <f aca="false">IF(J138="","",IF(ABS(J138)&lt;=2,"Yes","No"))</f>
        <v/>
      </c>
      <c r="M138" s="16"/>
      <c r="N138" s="16"/>
      <c r="O138" s="4" t="str">
        <f aca="false">IF(OR(H138="",N138=""),"",ABS(N138-H138))</f>
        <v/>
      </c>
      <c r="P138" s="4" t="str">
        <f aca="false">IF(J138="","",ABS(J138))</f>
        <v/>
      </c>
      <c r="Q138" s="16"/>
      <c r="R138" s="16"/>
      <c r="S138" s="16"/>
      <c r="T138" s="16"/>
    </row>
    <row r="139" customFormat="false" ht="15" hidden="false" customHeight="false" outlineLevel="0" collapsed="false">
      <c r="A139" s="16"/>
      <c r="B139" s="16"/>
      <c r="C139" s="16"/>
      <c r="D139" s="16"/>
      <c r="E139" s="16"/>
      <c r="F139" s="16"/>
      <c r="G139" s="16"/>
      <c r="H139" s="16"/>
      <c r="I139" s="16"/>
      <c r="J139" s="4" t="str">
        <f aca="false">IF(OR(H139="",I139=""),"",I139-H139)</f>
        <v/>
      </c>
      <c r="K139" s="4" t="str">
        <f aca="false">IF(J139="","",IF(ABS(J139)&lt;=1,"Yes","No"))</f>
        <v/>
      </c>
      <c r="L139" s="4" t="str">
        <f aca="false">IF(J139="","",IF(ABS(J139)&lt;=2,"Yes","No"))</f>
        <v/>
      </c>
      <c r="M139" s="16"/>
      <c r="N139" s="16"/>
      <c r="O139" s="4" t="str">
        <f aca="false">IF(OR(H139="",N139=""),"",ABS(N139-H139))</f>
        <v/>
      </c>
      <c r="P139" s="4" t="str">
        <f aca="false">IF(J139="","",ABS(J139))</f>
        <v/>
      </c>
      <c r="Q139" s="16"/>
      <c r="R139" s="16"/>
      <c r="S139" s="16"/>
      <c r="T139" s="16"/>
    </row>
    <row r="140" customFormat="false" ht="15" hidden="false" customHeight="false" outlineLevel="0" collapsed="false">
      <c r="A140" s="16"/>
      <c r="B140" s="16"/>
      <c r="C140" s="16"/>
      <c r="D140" s="16"/>
      <c r="E140" s="16"/>
      <c r="F140" s="16"/>
      <c r="G140" s="16"/>
      <c r="H140" s="16"/>
      <c r="I140" s="16"/>
      <c r="J140" s="4" t="str">
        <f aca="false">IF(OR(H140="",I140=""),"",I140-H140)</f>
        <v/>
      </c>
      <c r="K140" s="4" t="str">
        <f aca="false">IF(J140="","",IF(ABS(J140)&lt;=1,"Yes","No"))</f>
        <v/>
      </c>
      <c r="L140" s="4" t="str">
        <f aca="false">IF(J140="","",IF(ABS(J140)&lt;=2,"Yes","No"))</f>
        <v/>
      </c>
      <c r="M140" s="16"/>
      <c r="N140" s="16"/>
      <c r="O140" s="4" t="str">
        <f aca="false">IF(OR(H140="",N140=""),"",ABS(N140-H140))</f>
        <v/>
      </c>
      <c r="P140" s="4" t="str">
        <f aca="false">IF(J140="","",ABS(J140))</f>
        <v/>
      </c>
      <c r="Q140" s="16"/>
      <c r="R140" s="16"/>
      <c r="S140" s="16"/>
      <c r="T140" s="16"/>
    </row>
    <row r="141" customFormat="false" ht="15" hidden="false" customHeight="false" outlineLevel="0" collapsed="false">
      <c r="A141" s="16"/>
      <c r="B141" s="16"/>
      <c r="C141" s="16"/>
      <c r="D141" s="16"/>
      <c r="E141" s="16"/>
      <c r="F141" s="16"/>
      <c r="G141" s="16"/>
      <c r="H141" s="16"/>
      <c r="I141" s="16"/>
      <c r="J141" s="4" t="str">
        <f aca="false">IF(OR(H141="",I141=""),"",I141-H141)</f>
        <v/>
      </c>
      <c r="K141" s="4" t="str">
        <f aca="false">IF(J141="","",IF(ABS(J141)&lt;=1,"Yes","No"))</f>
        <v/>
      </c>
      <c r="L141" s="4" t="str">
        <f aca="false">IF(J141="","",IF(ABS(J141)&lt;=2,"Yes","No"))</f>
        <v/>
      </c>
      <c r="M141" s="16"/>
      <c r="N141" s="16"/>
      <c r="O141" s="4" t="str">
        <f aca="false">IF(OR(H141="",N141=""),"",ABS(N141-H141))</f>
        <v/>
      </c>
      <c r="P141" s="4" t="str">
        <f aca="false">IF(J141="","",ABS(J141))</f>
        <v/>
      </c>
      <c r="Q141" s="16"/>
      <c r="R141" s="16"/>
      <c r="S141" s="16"/>
      <c r="T141" s="16"/>
    </row>
    <row r="142" customFormat="false" ht="15" hidden="false" customHeight="false" outlineLevel="0" collapsed="false">
      <c r="A142" s="16"/>
      <c r="B142" s="16"/>
      <c r="C142" s="16"/>
      <c r="D142" s="16"/>
      <c r="E142" s="16"/>
      <c r="F142" s="16"/>
      <c r="G142" s="16"/>
      <c r="H142" s="16"/>
      <c r="I142" s="16"/>
      <c r="J142" s="4" t="str">
        <f aca="false">IF(OR(H142="",I142=""),"",I142-H142)</f>
        <v/>
      </c>
      <c r="K142" s="4" t="str">
        <f aca="false">IF(J142="","",IF(ABS(J142)&lt;=1,"Yes","No"))</f>
        <v/>
      </c>
      <c r="L142" s="4" t="str">
        <f aca="false">IF(J142="","",IF(ABS(J142)&lt;=2,"Yes","No"))</f>
        <v/>
      </c>
      <c r="M142" s="16"/>
      <c r="N142" s="16"/>
      <c r="O142" s="4" t="str">
        <f aca="false">IF(OR(H142="",N142=""),"",ABS(N142-H142))</f>
        <v/>
      </c>
      <c r="P142" s="4" t="str">
        <f aca="false">IF(J142="","",ABS(J142))</f>
        <v/>
      </c>
      <c r="Q142" s="16"/>
      <c r="R142" s="16"/>
      <c r="S142" s="16"/>
      <c r="T142" s="16"/>
    </row>
    <row r="143" customFormat="false" ht="15" hidden="false" customHeight="false" outlineLevel="0" collapsed="false">
      <c r="A143" s="16"/>
      <c r="B143" s="16"/>
      <c r="C143" s="16"/>
      <c r="D143" s="16"/>
      <c r="E143" s="16"/>
      <c r="F143" s="16"/>
      <c r="G143" s="16"/>
      <c r="H143" s="16"/>
      <c r="I143" s="16"/>
      <c r="J143" s="4" t="str">
        <f aca="false">IF(OR(H143="",I143=""),"",I143-H143)</f>
        <v/>
      </c>
      <c r="K143" s="4" t="str">
        <f aca="false">IF(J143="","",IF(ABS(J143)&lt;=1,"Yes","No"))</f>
        <v/>
      </c>
      <c r="L143" s="4" t="str">
        <f aca="false">IF(J143="","",IF(ABS(J143)&lt;=2,"Yes","No"))</f>
        <v/>
      </c>
      <c r="M143" s="16"/>
      <c r="N143" s="16"/>
      <c r="O143" s="4" t="str">
        <f aca="false">IF(OR(H143="",N143=""),"",ABS(N143-H143))</f>
        <v/>
      </c>
      <c r="P143" s="4" t="str">
        <f aca="false">IF(J143="","",ABS(J143))</f>
        <v/>
      </c>
      <c r="Q143" s="16"/>
      <c r="R143" s="16"/>
      <c r="S143" s="16"/>
      <c r="T143" s="16"/>
    </row>
    <row r="144" customFormat="false" ht="15" hidden="false" customHeight="false" outlineLevel="0" collapsed="false">
      <c r="A144" s="16"/>
      <c r="B144" s="16"/>
      <c r="C144" s="16"/>
      <c r="D144" s="16"/>
      <c r="E144" s="16"/>
      <c r="F144" s="16"/>
      <c r="G144" s="16"/>
      <c r="H144" s="16"/>
      <c r="I144" s="16"/>
      <c r="J144" s="4" t="str">
        <f aca="false">IF(OR(H144="",I144=""),"",I144-H144)</f>
        <v/>
      </c>
      <c r="K144" s="4" t="str">
        <f aca="false">IF(J144="","",IF(ABS(J144)&lt;=1,"Yes","No"))</f>
        <v/>
      </c>
      <c r="L144" s="4" t="str">
        <f aca="false">IF(J144="","",IF(ABS(J144)&lt;=2,"Yes","No"))</f>
        <v/>
      </c>
      <c r="M144" s="16"/>
      <c r="N144" s="16"/>
      <c r="O144" s="4" t="str">
        <f aca="false">IF(OR(H144="",N144=""),"",ABS(N144-H144))</f>
        <v/>
      </c>
      <c r="P144" s="4" t="str">
        <f aca="false">IF(J144="","",ABS(J144))</f>
        <v/>
      </c>
      <c r="Q144" s="16"/>
      <c r="R144" s="16"/>
      <c r="S144" s="16"/>
      <c r="T144" s="16"/>
    </row>
    <row r="145" customFormat="false" ht="15" hidden="false" customHeight="false" outlineLevel="0" collapsed="false">
      <c r="A145" s="16"/>
      <c r="B145" s="16"/>
      <c r="C145" s="16"/>
      <c r="D145" s="16"/>
      <c r="E145" s="16"/>
      <c r="F145" s="16"/>
      <c r="G145" s="16"/>
      <c r="H145" s="16"/>
      <c r="I145" s="16"/>
      <c r="J145" s="4" t="str">
        <f aca="false">IF(OR(H145="",I145=""),"",I145-H145)</f>
        <v/>
      </c>
      <c r="K145" s="4" t="str">
        <f aca="false">IF(J145="","",IF(ABS(J145)&lt;=1,"Yes","No"))</f>
        <v/>
      </c>
      <c r="L145" s="4" t="str">
        <f aca="false">IF(J145="","",IF(ABS(J145)&lt;=2,"Yes","No"))</f>
        <v/>
      </c>
      <c r="M145" s="16"/>
      <c r="N145" s="16"/>
      <c r="O145" s="4" t="str">
        <f aca="false">IF(OR(H145="",N145=""),"",ABS(N145-H145))</f>
        <v/>
      </c>
      <c r="P145" s="4" t="str">
        <f aca="false">IF(J145="","",ABS(J145))</f>
        <v/>
      </c>
      <c r="Q145" s="16"/>
      <c r="R145" s="16"/>
      <c r="S145" s="16"/>
      <c r="T145" s="16"/>
    </row>
    <row r="146" customFormat="false" ht="15" hidden="false" customHeight="false" outlineLevel="0" collapsed="false">
      <c r="A146" s="16"/>
      <c r="B146" s="16"/>
      <c r="C146" s="16"/>
      <c r="D146" s="16"/>
      <c r="E146" s="16"/>
      <c r="F146" s="16"/>
      <c r="G146" s="16"/>
      <c r="H146" s="16"/>
      <c r="I146" s="16"/>
      <c r="J146" s="4" t="str">
        <f aca="false">IF(OR(H146="",I146=""),"",I146-H146)</f>
        <v/>
      </c>
      <c r="K146" s="4" t="str">
        <f aca="false">IF(J146="","",IF(ABS(J146)&lt;=1,"Yes","No"))</f>
        <v/>
      </c>
      <c r="L146" s="4" t="str">
        <f aca="false">IF(J146="","",IF(ABS(J146)&lt;=2,"Yes","No"))</f>
        <v/>
      </c>
      <c r="M146" s="16"/>
      <c r="N146" s="16"/>
      <c r="O146" s="4" t="str">
        <f aca="false">IF(OR(H146="",N146=""),"",ABS(N146-H146))</f>
        <v/>
      </c>
      <c r="P146" s="4" t="str">
        <f aca="false">IF(J146="","",ABS(J146))</f>
        <v/>
      </c>
      <c r="Q146" s="16"/>
      <c r="R146" s="16"/>
      <c r="S146" s="16"/>
      <c r="T146" s="16"/>
    </row>
    <row r="147" customFormat="false" ht="15" hidden="false" customHeight="false" outlineLevel="0" collapsed="false">
      <c r="A147" s="16"/>
      <c r="B147" s="16"/>
      <c r="C147" s="16"/>
      <c r="D147" s="16"/>
      <c r="E147" s="16"/>
      <c r="F147" s="16"/>
      <c r="G147" s="16"/>
      <c r="H147" s="16"/>
      <c r="I147" s="16"/>
      <c r="J147" s="4" t="str">
        <f aca="false">IF(OR(H147="",I147=""),"",I147-H147)</f>
        <v/>
      </c>
      <c r="K147" s="4" t="str">
        <f aca="false">IF(J147="","",IF(ABS(J147)&lt;=1,"Yes","No"))</f>
        <v/>
      </c>
      <c r="L147" s="4" t="str">
        <f aca="false">IF(J147="","",IF(ABS(J147)&lt;=2,"Yes","No"))</f>
        <v/>
      </c>
      <c r="M147" s="16"/>
      <c r="N147" s="16"/>
      <c r="O147" s="4" t="str">
        <f aca="false">IF(OR(H147="",N147=""),"",ABS(N147-H147))</f>
        <v/>
      </c>
      <c r="P147" s="4" t="str">
        <f aca="false">IF(J147="","",ABS(J147))</f>
        <v/>
      </c>
      <c r="Q147" s="16"/>
      <c r="R147" s="16"/>
      <c r="S147" s="16"/>
      <c r="T147" s="16"/>
    </row>
    <row r="148" customFormat="false" ht="15" hidden="false" customHeight="false" outlineLevel="0" collapsed="false">
      <c r="A148" s="16"/>
      <c r="B148" s="16"/>
      <c r="C148" s="16"/>
      <c r="D148" s="16"/>
      <c r="E148" s="16"/>
      <c r="F148" s="16"/>
      <c r="G148" s="16"/>
      <c r="H148" s="16"/>
      <c r="I148" s="16"/>
      <c r="J148" s="4" t="str">
        <f aca="false">IF(OR(H148="",I148=""),"",I148-H148)</f>
        <v/>
      </c>
      <c r="K148" s="4" t="str">
        <f aca="false">IF(J148="","",IF(ABS(J148)&lt;=1,"Yes","No"))</f>
        <v/>
      </c>
      <c r="L148" s="4" t="str">
        <f aca="false">IF(J148="","",IF(ABS(J148)&lt;=2,"Yes","No"))</f>
        <v/>
      </c>
      <c r="M148" s="16"/>
      <c r="N148" s="16"/>
      <c r="O148" s="4" t="str">
        <f aca="false">IF(OR(H148="",N148=""),"",ABS(N148-H148))</f>
        <v/>
      </c>
      <c r="P148" s="4" t="str">
        <f aca="false">IF(J148="","",ABS(J148))</f>
        <v/>
      </c>
      <c r="Q148" s="16"/>
      <c r="R148" s="16"/>
      <c r="S148" s="16"/>
      <c r="T148" s="16"/>
    </row>
    <row r="149" customFormat="false" ht="15" hidden="false" customHeight="false" outlineLevel="0" collapsed="false">
      <c r="A149" s="16"/>
      <c r="B149" s="16"/>
      <c r="C149" s="16"/>
      <c r="D149" s="16"/>
      <c r="E149" s="16"/>
      <c r="F149" s="16"/>
      <c r="G149" s="16"/>
      <c r="H149" s="16"/>
      <c r="I149" s="16"/>
      <c r="J149" s="4" t="str">
        <f aca="false">IF(OR(H149="",I149=""),"",I149-H149)</f>
        <v/>
      </c>
      <c r="K149" s="4" t="str">
        <f aca="false">IF(J149="","",IF(ABS(J149)&lt;=1,"Yes","No"))</f>
        <v/>
      </c>
      <c r="L149" s="4" t="str">
        <f aca="false">IF(J149="","",IF(ABS(J149)&lt;=2,"Yes","No"))</f>
        <v/>
      </c>
      <c r="M149" s="16"/>
      <c r="N149" s="16"/>
      <c r="O149" s="4" t="str">
        <f aca="false">IF(OR(H149="",N149=""),"",ABS(N149-H149))</f>
        <v/>
      </c>
      <c r="P149" s="4" t="str">
        <f aca="false">IF(J149="","",ABS(J149))</f>
        <v/>
      </c>
      <c r="Q149" s="16"/>
      <c r="R149" s="16"/>
      <c r="S149" s="16"/>
      <c r="T149" s="16"/>
    </row>
    <row r="150" customFormat="false" ht="15" hidden="false" customHeight="false" outlineLevel="0" collapsed="false">
      <c r="A150" s="16"/>
      <c r="B150" s="16"/>
      <c r="C150" s="16"/>
      <c r="D150" s="16"/>
      <c r="E150" s="16"/>
      <c r="F150" s="16"/>
      <c r="G150" s="16"/>
      <c r="H150" s="16"/>
      <c r="I150" s="16"/>
      <c r="J150" s="4" t="str">
        <f aca="false">IF(OR(H150="",I150=""),"",I150-H150)</f>
        <v/>
      </c>
      <c r="K150" s="4" t="str">
        <f aca="false">IF(J150="","",IF(ABS(J150)&lt;=1,"Yes","No"))</f>
        <v/>
      </c>
      <c r="L150" s="4" t="str">
        <f aca="false">IF(J150="","",IF(ABS(J150)&lt;=2,"Yes","No"))</f>
        <v/>
      </c>
      <c r="M150" s="16"/>
      <c r="N150" s="16"/>
      <c r="O150" s="4" t="str">
        <f aca="false">IF(OR(H150="",N150=""),"",ABS(N150-H150))</f>
        <v/>
      </c>
      <c r="P150" s="4" t="str">
        <f aca="false">IF(J150="","",ABS(J150))</f>
        <v/>
      </c>
      <c r="Q150" s="16"/>
      <c r="R150" s="16"/>
      <c r="S150" s="16"/>
      <c r="T150" s="16"/>
    </row>
    <row r="151" customFormat="false" ht="15" hidden="false" customHeight="false" outlineLevel="0" collapsed="false">
      <c r="A151" s="16"/>
      <c r="B151" s="16"/>
      <c r="C151" s="16"/>
      <c r="D151" s="16"/>
      <c r="E151" s="16"/>
      <c r="F151" s="16"/>
      <c r="G151" s="16"/>
      <c r="H151" s="16"/>
      <c r="I151" s="16"/>
      <c r="J151" s="4" t="str">
        <f aca="false">IF(OR(H151="",I151=""),"",I151-H151)</f>
        <v/>
      </c>
      <c r="K151" s="4" t="str">
        <f aca="false">IF(J151="","",IF(ABS(J151)&lt;=1,"Yes","No"))</f>
        <v/>
      </c>
      <c r="L151" s="4" t="str">
        <f aca="false">IF(J151="","",IF(ABS(J151)&lt;=2,"Yes","No"))</f>
        <v/>
      </c>
      <c r="M151" s="16"/>
      <c r="N151" s="16"/>
      <c r="O151" s="4" t="str">
        <f aca="false">IF(OR(H151="",N151=""),"",ABS(N151-H151))</f>
        <v/>
      </c>
      <c r="P151" s="4" t="str">
        <f aca="false">IF(J151="","",ABS(J151))</f>
        <v/>
      </c>
      <c r="Q151" s="16"/>
      <c r="R151" s="16"/>
      <c r="S151" s="16"/>
      <c r="T151" s="16"/>
    </row>
    <row r="152" customFormat="false" ht="15" hidden="false" customHeight="false" outlineLevel="0" collapsed="false">
      <c r="A152" s="16"/>
      <c r="B152" s="16"/>
      <c r="C152" s="16"/>
      <c r="D152" s="16"/>
      <c r="E152" s="16"/>
      <c r="F152" s="16"/>
      <c r="G152" s="16"/>
      <c r="H152" s="16"/>
      <c r="I152" s="16"/>
      <c r="J152" s="4" t="str">
        <f aca="false">IF(OR(H152="",I152=""),"",I152-H152)</f>
        <v/>
      </c>
      <c r="K152" s="4" t="str">
        <f aca="false">IF(J152="","",IF(ABS(J152)&lt;=1,"Yes","No"))</f>
        <v/>
      </c>
      <c r="L152" s="4" t="str">
        <f aca="false">IF(J152="","",IF(ABS(J152)&lt;=2,"Yes","No"))</f>
        <v/>
      </c>
      <c r="M152" s="16"/>
      <c r="N152" s="16"/>
      <c r="O152" s="4" t="str">
        <f aca="false">IF(OR(H152="",N152=""),"",ABS(N152-H152))</f>
        <v/>
      </c>
      <c r="P152" s="4" t="str">
        <f aca="false">IF(J152="","",ABS(J152))</f>
        <v/>
      </c>
      <c r="Q152" s="16"/>
      <c r="R152" s="16"/>
      <c r="S152" s="16"/>
      <c r="T152" s="16"/>
    </row>
    <row r="153" customFormat="false" ht="15" hidden="false" customHeight="false" outlineLevel="0" collapsed="false">
      <c r="A153" s="16"/>
      <c r="B153" s="16"/>
      <c r="C153" s="16"/>
      <c r="D153" s="16"/>
      <c r="E153" s="16"/>
      <c r="F153" s="16"/>
      <c r="G153" s="16"/>
      <c r="H153" s="16"/>
      <c r="I153" s="16"/>
      <c r="J153" s="4" t="str">
        <f aca="false">IF(OR(H153="",I153=""),"",I153-H153)</f>
        <v/>
      </c>
      <c r="K153" s="4" t="str">
        <f aca="false">IF(J153="","",IF(ABS(J153)&lt;=1,"Yes","No"))</f>
        <v/>
      </c>
      <c r="L153" s="4" t="str">
        <f aca="false">IF(J153="","",IF(ABS(J153)&lt;=2,"Yes","No"))</f>
        <v/>
      </c>
      <c r="M153" s="16"/>
      <c r="N153" s="16"/>
      <c r="O153" s="4" t="str">
        <f aca="false">IF(OR(H153="",N153=""),"",ABS(N153-H153))</f>
        <v/>
      </c>
      <c r="P153" s="4" t="str">
        <f aca="false">IF(J153="","",ABS(J153))</f>
        <v/>
      </c>
      <c r="Q153" s="16"/>
      <c r="R153" s="16"/>
      <c r="S153" s="16"/>
      <c r="T153" s="16"/>
    </row>
    <row r="154" customFormat="false" ht="15" hidden="false" customHeight="false" outlineLevel="0" collapsed="false">
      <c r="A154" s="16"/>
      <c r="B154" s="16"/>
      <c r="C154" s="16"/>
      <c r="D154" s="16"/>
      <c r="E154" s="16"/>
      <c r="F154" s="16"/>
      <c r="G154" s="16"/>
      <c r="H154" s="16"/>
      <c r="I154" s="16"/>
      <c r="J154" s="4" t="str">
        <f aca="false">IF(OR(H154="",I154=""),"",I154-H154)</f>
        <v/>
      </c>
      <c r="K154" s="4" t="str">
        <f aca="false">IF(J154="","",IF(ABS(J154)&lt;=1,"Yes","No"))</f>
        <v/>
      </c>
      <c r="L154" s="4" t="str">
        <f aca="false">IF(J154="","",IF(ABS(J154)&lt;=2,"Yes","No"))</f>
        <v/>
      </c>
      <c r="M154" s="16"/>
      <c r="N154" s="16"/>
      <c r="O154" s="4" t="str">
        <f aca="false">IF(OR(H154="",N154=""),"",ABS(N154-H154))</f>
        <v/>
      </c>
      <c r="P154" s="4" t="str">
        <f aca="false">IF(J154="","",ABS(J154))</f>
        <v/>
      </c>
      <c r="Q154" s="16"/>
      <c r="R154" s="16"/>
      <c r="S154" s="16"/>
      <c r="T154" s="16"/>
    </row>
    <row r="155" customFormat="false" ht="15" hidden="false" customHeight="false" outlineLevel="0" collapsed="false">
      <c r="A155" s="16"/>
      <c r="B155" s="16"/>
      <c r="C155" s="16"/>
      <c r="D155" s="16"/>
      <c r="E155" s="16"/>
      <c r="F155" s="16"/>
      <c r="G155" s="16"/>
      <c r="H155" s="16"/>
      <c r="I155" s="16"/>
      <c r="J155" s="4" t="str">
        <f aca="false">IF(OR(H155="",I155=""),"",I155-H155)</f>
        <v/>
      </c>
      <c r="K155" s="4" t="str">
        <f aca="false">IF(J155="","",IF(ABS(J155)&lt;=1,"Yes","No"))</f>
        <v/>
      </c>
      <c r="L155" s="4" t="str">
        <f aca="false">IF(J155="","",IF(ABS(J155)&lt;=2,"Yes","No"))</f>
        <v/>
      </c>
      <c r="M155" s="16"/>
      <c r="N155" s="16"/>
      <c r="O155" s="4" t="str">
        <f aca="false">IF(OR(H155="",N155=""),"",ABS(N155-H155))</f>
        <v/>
      </c>
      <c r="P155" s="4" t="str">
        <f aca="false">IF(J155="","",ABS(J155))</f>
        <v/>
      </c>
      <c r="Q155" s="16"/>
      <c r="R155" s="16"/>
      <c r="S155" s="16"/>
      <c r="T155" s="16"/>
    </row>
    <row r="156" customFormat="false" ht="15" hidden="false" customHeight="false" outlineLevel="0" collapsed="false">
      <c r="A156" s="16"/>
      <c r="B156" s="16"/>
      <c r="C156" s="16"/>
      <c r="D156" s="16"/>
      <c r="E156" s="16"/>
      <c r="F156" s="16"/>
      <c r="G156" s="16"/>
      <c r="H156" s="16"/>
      <c r="I156" s="16"/>
      <c r="J156" s="4" t="str">
        <f aca="false">IF(OR(H156="",I156=""),"",I156-H156)</f>
        <v/>
      </c>
      <c r="K156" s="4" t="str">
        <f aca="false">IF(J156="","",IF(ABS(J156)&lt;=1,"Yes","No"))</f>
        <v/>
      </c>
      <c r="L156" s="4" t="str">
        <f aca="false">IF(J156="","",IF(ABS(J156)&lt;=2,"Yes","No"))</f>
        <v/>
      </c>
      <c r="M156" s="16"/>
      <c r="N156" s="16"/>
      <c r="O156" s="4" t="str">
        <f aca="false">IF(OR(H156="",N156=""),"",ABS(N156-H156))</f>
        <v/>
      </c>
      <c r="P156" s="4" t="str">
        <f aca="false">IF(J156="","",ABS(J156))</f>
        <v/>
      </c>
      <c r="Q156" s="16"/>
      <c r="R156" s="16"/>
      <c r="S156" s="16"/>
      <c r="T156" s="16"/>
    </row>
    <row r="157" customFormat="false" ht="15" hidden="false" customHeight="false" outlineLevel="0" collapsed="false">
      <c r="A157" s="16"/>
      <c r="B157" s="16"/>
      <c r="C157" s="16"/>
      <c r="D157" s="16"/>
      <c r="E157" s="16"/>
      <c r="F157" s="16"/>
      <c r="G157" s="16"/>
      <c r="H157" s="16"/>
      <c r="I157" s="16"/>
      <c r="J157" s="4" t="str">
        <f aca="false">IF(OR(H157="",I157=""),"",I157-H157)</f>
        <v/>
      </c>
      <c r="K157" s="4" t="str">
        <f aca="false">IF(J157="","",IF(ABS(J157)&lt;=1,"Yes","No"))</f>
        <v/>
      </c>
      <c r="L157" s="4" t="str">
        <f aca="false">IF(J157="","",IF(ABS(J157)&lt;=2,"Yes","No"))</f>
        <v/>
      </c>
      <c r="M157" s="16"/>
      <c r="N157" s="16"/>
      <c r="O157" s="4" t="str">
        <f aca="false">IF(OR(H157="",N157=""),"",ABS(N157-H157))</f>
        <v/>
      </c>
      <c r="P157" s="4" t="str">
        <f aca="false">IF(J157="","",ABS(J157))</f>
        <v/>
      </c>
      <c r="Q157" s="16"/>
      <c r="R157" s="16"/>
      <c r="S157" s="16"/>
      <c r="T157" s="16"/>
    </row>
    <row r="158" customFormat="false" ht="15" hidden="false" customHeight="false" outlineLevel="0" collapsed="false">
      <c r="A158" s="16"/>
      <c r="B158" s="16"/>
      <c r="C158" s="16"/>
      <c r="D158" s="16"/>
      <c r="E158" s="16"/>
      <c r="F158" s="16"/>
      <c r="G158" s="16"/>
      <c r="H158" s="16"/>
      <c r="I158" s="16"/>
      <c r="J158" s="4" t="str">
        <f aca="false">IF(OR(H158="",I158=""),"",I158-H158)</f>
        <v/>
      </c>
      <c r="K158" s="4" t="str">
        <f aca="false">IF(J158="","",IF(ABS(J158)&lt;=1,"Yes","No"))</f>
        <v/>
      </c>
      <c r="L158" s="4" t="str">
        <f aca="false">IF(J158="","",IF(ABS(J158)&lt;=2,"Yes","No"))</f>
        <v/>
      </c>
      <c r="M158" s="16"/>
      <c r="N158" s="16"/>
      <c r="O158" s="4" t="str">
        <f aca="false">IF(OR(H158="",N158=""),"",ABS(N158-H158))</f>
        <v/>
      </c>
      <c r="P158" s="4" t="str">
        <f aca="false">IF(J158="","",ABS(J158))</f>
        <v/>
      </c>
      <c r="Q158" s="16"/>
      <c r="R158" s="16"/>
      <c r="S158" s="16"/>
      <c r="T158" s="16"/>
    </row>
    <row r="159" customFormat="false" ht="15" hidden="false" customHeight="false" outlineLevel="0" collapsed="false">
      <c r="A159" s="16"/>
      <c r="B159" s="16"/>
      <c r="C159" s="16"/>
      <c r="D159" s="16"/>
      <c r="E159" s="16"/>
      <c r="F159" s="16"/>
      <c r="G159" s="16"/>
      <c r="H159" s="16"/>
      <c r="I159" s="16"/>
      <c r="J159" s="4" t="str">
        <f aca="false">IF(OR(H159="",I159=""),"",I159-H159)</f>
        <v/>
      </c>
      <c r="K159" s="4" t="str">
        <f aca="false">IF(J159="","",IF(ABS(J159)&lt;=1,"Yes","No"))</f>
        <v/>
      </c>
      <c r="L159" s="4" t="str">
        <f aca="false">IF(J159="","",IF(ABS(J159)&lt;=2,"Yes","No"))</f>
        <v/>
      </c>
      <c r="M159" s="16"/>
      <c r="N159" s="16"/>
      <c r="O159" s="4" t="str">
        <f aca="false">IF(OR(H159="",N159=""),"",ABS(N159-H159))</f>
        <v/>
      </c>
      <c r="P159" s="4" t="str">
        <f aca="false">IF(J159="","",ABS(J159))</f>
        <v/>
      </c>
      <c r="Q159" s="16"/>
      <c r="R159" s="16"/>
      <c r="S159" s="16"/>
      <c r="T159" s="16"/>
    </row>
    <row r="160" customFormat="false" ht="15" hidden="false" customHeight="false" outlineLevel="0" collapsed="false">
      <c r="A160" s="16"/>
      <c r="B160" s="16"/>
      <c r="C160" s="16"/>
      <c r="D160" s="16"/>
      <c r="E160" s="16"/>
      <c r="F160" s="16"/>
      <c r="G160" s="16"/>
      <c r="H160" s="16"/>
      <c r="I160" s="16"/>
      <c r="J160" s="4" t="str">
        <f aca="false">IF(OR(H160="",I160=""),"",I160-H160)</f>
        <v/>
      </c>
      <c r="K160" s="4" t="str">
        <f aca="false">IF(J160="","",IF(ABS(J160)&lt;=1,"Yes","No"))</f>
        <v/>
      </c>
      <c r="L160" s="4" t="str">
        <f aca="false">IF(J160="","",IF(ABS(J160)&lt;=2,"Yes","No"))</f>
        <v/>
      </c>
      <c r="M160" s="16"/>
      <c r="N160" s="16"/>
      <c r="O160" s="4" t="str">
        <f aca="false">IF(OR(H160="",N160=""),"",ABS(N160-H160))</f>
        <v/>
      </c>
      <c r="P160" s="4" t="str">
        <f aca="false">IF(J160="","",ABS(J160))</f>
        <v/>
      </c>
      <c r="Q160" s="16"/>
      <c r="R160" s="16"/>
      <c r="S160" s="16"/>
      <c r="T160" s="16"/>
    </row>
    <row r="161" customFormat="false" ht="15" hidden="false" customHeight="false" outlineLevel="0" collapsed="false">
      <c r="A161" s="16"/>
      <c r="B161" s="16"/>
      <c r="C161" s="16"/>
      <c r="D161" s="16"/>
      <c r="E161" s="16"/>
      <c r="F161" s="16"/>
      <c r="G161" s="16"/>
      <c r="H161" s="16"/>
      <c r="I161" s="16"/>
      <c r="J161" s="4" t="str">
        <f aca="false">IF(OR(H161="",I161=""),"",I161-H161)</f>
        <v/>
      </c>
      <c r="K161" s="4" t="str">
        <f aca="false">IF(J161="","",IF(ABS(J161)&lt;=1,"Yes","No"))</f>
        <v/>
      </c>
      <c r="L161" s="4" t="str">
        <f aca="false">IF(J161="","",IF(ABS(J161)&lt;=2,"Yes","No"))</f>
        <v/>
      </c>
      <c r="M161" s="16"/>
      <c r="N161" s="16"/>
      <c r="O161" s="4" t="str">
        <f aca="false">IF(OR(H161="",N161=""),"",ABS(N161-H161))</f>
        <v/>
      </c>
      <c r="P161" s="4" t="str">
        <f aca="false">IF(J161="","",ABS(J161))</f>
        <v/>
      </c>
      <c r="Q161" s="16"/>
      <c r="R161" s="16"/>
      <c r="S161" s="16"/>
      <c r="T161" s="16"/>
    </row>
    <row r="162" customFormat="false" ht="15" hidden="false" customHeight="false" outlineLevel="0" collapsed="false">
      <c r="A162" s="16"/>
      <c r="B162" s="16"/>
      <c r="C162" s="16"/>
      <c r="D162" s="16"/>
      <c r="E162" s="16"/>
      <c r="F162" s="16"/>
      <c r="G162" s="16"/>
      <c r="H162" s="16"/>
      <c r="I162" s="16"/>
      <c r="J162" s="4" t="str">
        <f aca="false">IF(OR(H162="",I162=""),"",I162-H162)</f>
        <v/>
      </c>
      <c r="K162" s="4" t="str">
        <f aca="false">IF(J162="","",IF(ABS(J162)&lt;=1,"Yes","No"))</f>
        <v/>
      </c>
      <c r="L162" s="4" t="str">
        <f aca="false">IF(J162="","",IF(ABS(J162)&lt;=2,"Yes","No"))</f>
        <v/>
      </c>
      <c r="M162" s="16"/>
      <c r="N162" s="16"/>
      <c r="O162" s="4" t="str">
        <f aca="false">IF(OR(H162="",N162=""),"",ABS(N162-H162))</f>
        <v/>
      </c>
      <c r="P162" s="4" t="str">
        <f aca="false">IF(J162="","",ABS(J162))</f>
        <v/>
      </c>
      <c r="Q162" s="16"/>
      <c r="R162" s="16"/>
      <c r="S162" s="16"/>
      <c r="T162" s="16"/>
    </row>
    <row r="163" customFormat="false" ht="15" hidden="false" customHeight="false" outlineLevel="0" collapsed="false">
      <c r="A163" s="16"/>
      <c r="B163" s="16"/>
      <c r="C163" s="16"/>
      <c r="D163" s="16"/>
      <c r="E163" s="16"/>
      <c r="F163" s="16"/>
      <c r="G163" s="16"/>
      <c r="H163" s="16"/>
      <c r="I163" s="16"/>
      <c r="J163" s="4" t="str">
        <f aca="false">IF(OR(H163="",I163=""),"",I163-H163)</f>
        <v/>
      </c>
      <c r="K163" s="4" t="str">
        <f aca="false">IF(J163="","",IF(ABS(J163)&lt;=1,"Yes","No"))</f>
        <v/>
      </c>
      <c r="L163" s="4" t="str">
        <f aca="false">IF(J163="","",IF(ABS(J163)&lt;=2,"Yes","No"))</f>
        <v/>
      </c>
      <c r="M163" s="16"/>
      <c r="N163" s="16"/>
      <c r="O163" s="4" t="str">
        <f aca="false">IF(OR(H163="",N163=""),"",ABS(N163-H163))</f>
        <v/>
      </c>
      <c r="P163" s="4" t="str">
        <f aca="false">IF(J163="","",ABS(J163))</f>
        <v/>
      </c>
      <c r="Q163" s="16"/>
      <c r="R163" s="16"/>
      <c r="S163" s="16"/>
      <c r="T163" s="16"/>
    </row>
    <row r="164" customFormat="false" ht="15" hidden="false" customHeight="false" outlineLevel="0" collapsed="false">
      <c r="A164" s="16"/>
      <c r="B164" s="16"/>
      <c r="C164" s="16"/>
      <c r="D164" s="16"/>
      <c r="E164" s="16"/>
      <c r="F164" s="16"/>
      <c r="G164" s="16"/>
      <c r="H164" s="16"/>
      <c r="I164" s="16"/>
      <c r="J164" s="4" t="str">
        <f aca="false">IF(OR(H164="",I164=""),"",I164-H164)</f>
        <v/>
      </c>
      <c r="K164" s="4" t="str">
        <f aca="false">IF(J164="","",IF(ABS(J164)&lt;=1,"Yes","No"))</f>
        <v/>
      </c>
      <c r="L164" s="4" t="str">
        <f aca="false">IF(J164="","",IF(ABS(J164)&lt;=2,"Yes","No"))</f>
        <v/>
      </c>
      <c r="M164" s="16"/>
      <c r="N164" s="16"/>
      <c r="O164" s="4" t="str">
        <f aca="false">IF(OR(H164="",N164=""),"",ABS(N164-H164))</f>
        <v/>
      </c>
      <c r="P164" s="4" t="str">
        <f aca="false">IF(J164="","",ABS(J164))</f>
        <v/>
      </c>
      <c r="Q164" s="16"/>
      <c r="R164" s="16"/>
      <c r="S164" s="16"/>
      <c r="T164" s="16"/>
    </row>
    <row r="165" customFormat="false" ht="15" hidden="false" customHeight="false" outlineLevel="0" collapsed="false">
      <c r="A165" s="16"/>
      <c r="B165" s="16"/>
      <c r="C165" s="16"/>
      <c r="D165" s="16"/>
      <c r="E165" s="16"/>
      <c r="F165" s="16"/>
      <c r="G165" s="16"/>
      <c r="H165" s="16"/>
      <c r="I165" s="16"/>
      <c r="J165" s="4" t="str">
        <f aca="false">IF(OR(H165="",I165=""),"",I165-H165)</f>
        <v/>
      </c>
      <c r="K165" s="4" t="str">
        <f aca="false">IF(J165="","",IF(ABS(J165)&lt;=1,"Yes","No"))</f>
        <v/>
      </c>
      <c r="L165" s="4" t="str">
        <f aca="false">IF(J165="","",IF(ABS(J165)&lt;=2,"Yes","No"))</f>
        <v/>
      </c>
      <c r="M165" s="16"/>
      <c r="N165" s="16"/>
      <c r="O165" s="4" t="str">
        <f aca="false">IF(OR(H165="",N165=""),"",ABS(N165-H165))</f>
        <v/>
      </c>
      <c r="P165" s="4" t="str">
        <f aca="false">IF(J165="","",ABS(J165))</f>
        <v/>
      </c>
      <c r="Q165" s="16"/>
      <c r="R165" s="16"/>
      <c r="S165" s="16"/>
      <c r="T165" s="16"/>
    </row>
    <row r="166" customFormat="false" ht="15" hidden="false" customHeight="false" outlineLevel="0" collapsed="false">
      <c r="A166" s="16"/>
      <c r="B166" s="16"/>
      <c r="C166" s="16"/>
      <c r="D166" s="16"/>
      <c r="E166" s="16"/>
      <c r="F166" s="16"/>
      <c r="G166" s="16"/>
      <c r="H166" s="16"/>
      <c r="I166" s="16"/>
      <c r="J166" s="4" t="str">
        <f aca="false">IF(OR(H166="",I166=""),"",I166-H166)</f>
        <v/>
      </c>
      <c r="K166" s="4" t="str">
        <f aca="false">IF(J166="","",IF(ABS(J166)&lt;=1,"Yes","No"))</f>
        <v/>
      </c>
      <c r="L166" s="4" t="str">
        <f aca="false">IF(J166="","",IF(ABS(J166)&lt;=2,"Yes","No"))</f>
        <v/>
      </c>
      <c r="M166" s="16"/>
      <c r="N166" s="16"/>
      <c r="O166" s="4" t="str">
        <f aca="false">IF(OR(H166="",N166=""),"",ABS(N166-H166))</f>
        <v/>
      </c>
      <c r="P166" s="4" t="str">
        <f aca="false">IF(J166="","",ABS(J166))</f>
        <v/>
      </c>
      <c r="Q166" s="16"/>
      <c r="R166" s="16"/>
      <c r="S166" s="16"/>
      <c r="T166" s="16"/>
    </row>
    <row r="167" customFormat="false" ht="15" hidden="false" customHeight="false" outlineLevel="0" collapsed="false">
      <c r="A167" s="16"/>
      <c r="B167" s="16"/>
      <c r="C167" s="16"/>
      <c r="D167" s="16"/>
      <c r="E167" s="16"/>
      <c r="F167" s="16"/>
      <c r="G167" s="16"/>
      <c r="H167" s="16"/>
      <c r="I167" s="16"/>
      <c r="J167" s="4" t="str">
        <f aca="false">IF(OR(H167="",I167=""),"",I167-H167)</f>
        <v/>
      </c>
      <c r="K167" s="4" t="str">
        <f aca="false">IF(J167="","",IF(ABS(J167)&lt;=1,"Yes","No"))</f>
        <v/>
      </c>
      <c r="L167" s="4" t="str">
        <f aca="false">IF(J167="","",IF(ABS(J167)&lt;=2,"Yes","No"))</f>
        <v/>
      </c>
      <c r="M167" s="16"/>
      <c r="N167" s="16"/>
      <c r="O167" s="4" t="str">
        <f aca="false">IF(OR(H167="",N167=""),"",ABS(N167-H167))</f>
        <v/>
      </c>
      <c r="P167" s="4" t="str">
        <f aca="false">IF(J167="","",ABS(J167))</f>
        <v/>
      </c>
      <c r="Q167" s="16"/>
      <c r="R167" s="16"/>
      <c r="S167" s="16"/>
      <c r="T167" s="16"/>
    </row>
    <row r="168" customFormat="false" ht="15" hidden="false" customHeight="false" outlineLevel="0" collapsed="false">
      <c r="A168" s="16"/>
      <c r="B168" s="16"/>
      <c r="C168" s="16"/>
      <c r="D168" s="16"/>
      <c r="E168" s="16"/>
      <c r="F168" s="16"/>
      <c r="G168" s="16"/>
      <c r="H168" s="16"/>
      <c r="I168" s="16"/>
      <c r="J168" s="4" t="str">
        <f aca="false">IF(OR(H168="",I168=""),"",I168-H168)</f>
        <v/>
      </c>
      <c r="K168" s="4" t="str">
        <f aca="false">IF(J168="","",IF(ABS(J168)&lt;=1,"Yes","No"))</f>
        <v/>
      </c>
      <c r="L168" s="4" t="str">
        <f aca="false">IF(J168="","",IF(ABS(J168)&lt;=2,"Yes","No"))</f>
        <v/>
      </c>
      <c r="M168" s="16"/>
      <c r="N168" s="16"/>
      <c r="O168" s="4" t="str">
        <f aca="false">IF(OR(H168="",N168=""),"",ABS(N168-H168))</f>
        <v/>
      </c>
      <c r="P168" s="4" t="str">
        <f aca="false">IF(J168="","",ABS(J168))</f>
        <v/>
      </c>
      <c r="Q168" s="16"/>
      <c r="R168" s="16"/>
      <c r="S168" s="16"/>
      <c r="T168" s="16"/>
    </row>
    <row r="169" customFormat="false" ht="15" hidden="false" customHeight="false" outlineLevel="0" collapsed="false">
      <c r="A169" s="16"/>
      <c r="B169" s="16"/>
      <c r="C169" s="16"/>
      <c r="D169" s="16"/>
      <c r="E169" s="16"/>
      <c r="F169" s="16"/>
      <c r="G169" s="16"/>
      <c r="H169" s="16"/>
      <c r="I169" s="16"/>
      <c r="J169" s="4" t="str">
        <f aca="false">IF(OR(H169="",I169=""),"",I169-H169)</f>
        <v/>
      </c>
      <c r="K169" s="4" t="str">
        <f aca="false">IF(J169="","",IF(ABS(J169)&lt;=1,"Yes","No"))</f>
        <v/>
      </c>
      <c r="L169" s="4" t="str">
        <f aca="false">IF(J169="","",IF(ABS(J169)&lt;=2,"Yes","No"))</f>
        <v/>
      </c>
      <c r="M169" s="16"/>
      <c r="N169" s="16"/>
      <c r="O169" s="4" t="str">
        <f aca="false">IF(OR(H169="",N169=""),"",ABS(N169-H169))</f>
        <v/>
      </c>
      <c r="P169" s="4" t="str">
        <f aca="false">IF(J169="","",ABS(J169))</f>
        <v/>
      </c>
      <c r="Q169" s="16"/>
      <c r="R169" s="16"/>
      <c r="S169" s="16"/>
      <c r="T169" s="16"/>
    </row>
    <row r="170" customFormat="false" ht="15" hidden="false" customHeight="false" outlineLevel="0" collapsed="false">
      <c r="A170" s="16"/>
      <c r="B170" s="16"/>
      <c r="C170" s="16"/>
      <c r="D170" s="16"/>
      <c r="E170" s="16"/>
      <c r="F170" s="16"/>
      <c r="G170" s="16"/>
      <c r="H170" s="16"/>
      <c r="I170" s="16"/>
      <c r="J170" s="4" t="str">
        <f aca="false">IF(OR(H170="",I170=""),"",I170-H170)</f>
        <v/>
      </c>
      <c r="K170" s="4" t="str">
        <f aca="false">IF(J170="","",IF(ABS(J170)&lt;=1,"Yes","No"))</f>
        <v/>
      </c>
      <c r="L170" s="4" t="str">
        <f aca="false">IF(J170="","",IF(ABS(J170)&lt;=2,"Yes","No"))</f>
        <v/>
      </c>
      <c r="M170" s="16"/>
      <c r="N170" s="16"/>
      <c r="O170" s="4" t="str">
        <f aca="false">IF(OR(H170="",N170=""),"",ABS(N170-H170))</f>
        <v/>
      </c>
      <c r="P170" s="4" t="str">
        <f aca="false">IF(J170="","",ABS(J170))</f>
        <v/>
      </c>
      <c r="Q170" s="16"/>
      <c r="R170" s="16"/>
      <c r="S170" s="16"/>
      <c r="T170" s="16"/>
    </row>
    <row r="171" customFormat="false" ht="15" hidden="false" customHeight="false" outlineLevel="0" collapsed="false">
      <c r="A171" s="16"/>
      <c r="B171" s="16"/>
      <c r="C171" s="16"/>
      <c r="D171" s="16"/>
      <c r="E171" s="16"/>
      <c r="F171" s="16"/>
      <c r="G171" s="16"/>
      <c r="H171" s="16"/>
      <c r="I171" s="16"/>
      <c r="J171" s="4" t="str">
        <f aca="false">IF(OR(H171="",I171=""),"",I171-H171)</f>
        <v/>
      </c>
      <c r="K171" s="4" t="str">
        <f aca="false">IF(J171="","",IF(ABS(J171)&lt;=1,"Yes","No"))</f>
        <v/>
      </c>
      <c r="L171" s="4" t="str">
        <f aca="false">IF(J171="","",IF(ABS(J171)&lt;=2,"Yes","No"))</f>
        <v/>
      </c>
      <c r="M171" s="16"/>
      <c r="N171" s="16"/>
      <c r="O171" s="4" t="str">
        <f aca="false">IF(OR(H171="",N171=""),"",ABS(N171-H171))</f>
        <v/>
      </c>
      <c r="P171" s="4" t="str">
        <f aca="false">IF(J171="","",ABS(J171))</f>
        <v/>
      </c>
      <c r="Q171" s="16"/>
      <c r="R171" s="16"/>
      <c r="S171" s="16"/>
      <c r="T171" s="16"/>
    </row>
    <row r="172" customFormat="false" ht="15" hidden="false" customHeight="false" outlineLevel="0" collapsed="false">
      <c r="A172" s="16"/>
      <c r="B172" s="16"/>
      <c r="C172" s="16"/>
      <c r="D172" s="16"/>
      <c r="E172" s="16"/>
      <c r="F172" s="16"/>
      <c r="G172" s="16"/>
      <c r="H172" s="16"/>
      <c r="I172" s="16"/>
      <c r="J172" s="4" t="str">
        <f aca="false">IF(OR(H172="",I172=""),"",I172-H172)</f>
        <v/>
      </c>
      <c r="K172" s="4" t="str">
        <f aca="false">IF(J172="","",IF(ABS(J172)&lt;=1,"Yes","No"))</f>
        <v/>
      </c>
      <c r="L172" s="4" t="str">
        <f aca="false">IF(J172="","",IF(ABS(J172)&lt;=2,"Yes","No"))</f>
        <v/>
      </c>
      <c r="M172" s="16"/>
      <c r="N172" s="16"/>
      <c r="O172" s="4" t="str">
        <f aca="false">IF(OR(H172="",N172=""),"",ABS(N172-H172))</f>
        <v/>
      </c>
      <c r="P172" s="4" t="str">
        <f aca="false">IF(J172="","",ABS(J172))</f>
        <v/>
      </c>
      <c r="Q172" s="16"/>
      <c r="R172" s="16"/>
      <c r="S172" s="16"/>
      <c r="T172" s="16"/>
    </row>
    <row r="173" customFormat="false" ht="15" hidden="false" customHeight="false" outlineLevel="0" collapsed="false">
      <c r="A173" s="16"/>
      <c r="B173" s="16"/>
      <c r="C173" s="16"/>
      <c r="D173" s="16"/>
      <c r="E173" s="16"/>
      <c r="F173" s="16"/>
      <c r="G173" s="16"/>
      <c r="H173" s="16"/>
      <c r="I173" s="16"/>
      <c r="J173" s="4" t="str">
        <f aca="false">IF(OR(H173="",I173=""),"",I173-H173)</f>
        <v/>
      </c>
      <c r="K173" s="4" t="str">
        <f aca="false">IF(J173="","",IF(ABS(J173)&lt;=1,"Yes","No"))</f>
        <v/>
      </c>
      <c r="L173" s="4" t="str">
        <f aca="false">IF(J173="","",IF(ABS(J173)&lt;=2,"Yes","No"))</f>
        <v/>
      </c>
      <c r="M173" s="16"/>
      <c r="N173" s="16"/>
      <c r="O173" s="4" t="str">
        <f aca="false">IF(OR(H173="",N173=""),"",ABS(N173-H173))</f>
        <v/>
      </c>
      <c r="P173" s="4" t="str">
        <f aca="false">IF(J173="","",ABS(J173))</f>
        <v/>
      </c>
      <c r="Q173" s="16"/>
      <c r="R173" s="16"/>
      <c r="S173" s="16"/>
      <c r="T173" s="16"/>
    </row>
    <row r="174" customFormat="false" ht="15" hidden="false" customHeight="false" outlineLevel="0" collapsed="false">
      <c r="A174" s="16"/>
      <c r="B174" s="16"/>
      <c r="C174" s="16"/>
      <c r="D174" s="16"/>
      <c r="E174" s="16"/>
      <c r="F174" s="16"/>
      <c r="G174" s="16"/>
      <c r="H174" s="16"/>
      <c r="I174" s="16"/>
      <c r="J174" s="4" t="str">
        <f aca="false">IF(OR(H174="",I174=""),"",I174-H174)</f>
        <v/>
      </c>
      <c r="K174" s="4" t="str">
        <f aca="false">IF(J174="","",IF(ABS(J174)&lt;=1,"Yes","No"))</f>
        <v/>
      </c>
      <c r="L174" s="4" t="str">
        <f aca="false">IF(J174="","",IF(ABS(J174)&lt;=2,"Yes","No"))</f>
        <v/>
      </c>
      <c r="M174" s="16"/>
      <c r="N174" s="16"/>
      <c r="O174" s="4" t="str">
        <f aca="false">IF(OR(H174="",N174=""),"",ABS(N174-H174))</f>
        <v/>
      </c>
      <c r="P174" s="4" t="str">
        <f aca="false">IF(J174="","",ABS(J174))</f>
        <v/>
      </c>
      <c r="Q174" s="16"/>
      <c r="R174" s="16"/>
      <c r="S174" s="16"/>
      <c r="T174" s="16"/>
    </row>
    <row r="175" customFormat="false" ht="15" hidden="false" customHeight="false" outlineLevel="0" collapsed="false">
      <c r="A175" s="16"/>
      <c r="B175" s="16"/>
      <c r="C175" s="16"/>
      <c r="D175" s="16"/>
      <c r="E175" s="16"/>
      <c r="F175" s="16"/>
      <c r="G175" s="16"/>
      <c r="H175" s="16"/>
      <c r="I175" s="16"/>
      <c r="J175" s="4" t="str">
        <f aca="false">IF(OR(H175="",I175=""),"",I175-H175)</f>
        <v/>
      </c>
      <c r="K175" s="4" t="str">
        <f aca="false">IF(J175="","",IF(ABS(J175)&lt;=1,"Yes","No"))</f>
        <v/>
      </c>
      <c r="L175" s="4" t="str">
        <f aca="false">IF(J175="","",IF(ABS(J175)&lt;=2,"Yes","No"))</f>
        <v/>
      </c>
      <c r="M175" s="16"/>
      <c r="N175" s="16"/>
      <c r="O175" s="4" t="str">
        <f aca="false">IF(OR(H175="",N175=""),"",ABS(N175-H175))</f>
        <v/>
      </c>
      <c r="P175" s="4" t="str">
        <f aca="false">IF(J175="","",ABS(J175))</f>
        <v/>
      </c>
      <c r="Q175" s="16"/>
      <c r="R175" s="16"/>
      <c r="S175" s="16"/>
      <c r="T175" s="16"/>
    </row>
    <row r="176" customFormat="false" ht="15" hidden="false" customHeight="false" outlineLevel="0" collapsed="false">
      <c r="A176" s="16"/>
      <c r="B176" s="16"/>
      <c r="C176" s="16"/>
      <c r="D176" s="16"/>
      <c r="E176" s="16"/>
      <c r="F176" s="16"/>
      <c r="G176" s="16"/>
      <c r="H176" s="16"/>
      <c r="I176" s="16"/>
      <c r="J176" s="4" t="str">
        <f aca="false">IF(OR(H176="",I176=""),"",I176-H176)</f>
        <v/>
      </c>
      <c r="K176" s="4" t="str">
        <f aca="false">IF(J176="","",IF(ABS(J176)&lt;=1,"Yes","No"))</f>
        <v/>
      </c>
      <c r="L176" s="4" t="str">
        <f aca="false">IF(J176="","",IF(ABS(J176)&lt;=2,"Yes","No"))</f>
        <v/>
      </c>
      <c r="M176" s="16"/>
      <c r="N176" s="16"/>
      <c r="O176" s="4" t="str">
        <f aca="false">IF(OR(H176="",N176=""),"",ABS(N176-H176))</f>
        <v/>
      </c>
      <c r="P176" s="4" t="str">
        <f aca="false">IF(J176="","",ABS(J176))</f>
        <v/>
      </c>
      <c r="Q176" s="16"/>
      <c r="R176" s="16"/>
      <c r="S176" s="16"/>
      <c r="T176" s="16"/>
    </row>
    <row r="177" customFormat="false" ht="15" hidden="false" customHeight="false" outlineLevel="0" collapsed="false">
      <c r="A177" s="16"/>
      <c r="B177" s="16"/>
      <c r="C177" s="16"/>
      <c r="D177" s="16"/>
      <c r="E177" s="16"/>
      <c r="F177" s="16"/>
      <c r="G177" s="16"/>
      <c r="H177" s="16"/>
      <c r="I177" s="16"/>
      <c r="J177" s="4" t="str">
        <f aca="false">IF(OR(H177="",I177=""),"",I177-H177)</f>
        <v/>
      </c>
      <c r="K177" s="4" t="str">
        <f aca="false">IF(J177="","",IF(ABS(J177)&lt;=1,"Yes","No"))</f>
        <v/>
      </c>
      <c r="L177" s="4" t="str">
        <f aca="false">IF(J177="","",IF(ABS(J177)&lt;=2,"Yes","No"))</f>
        <v/>
      </c>
      <c r="M177" s="16"/>
      <c r="N177" s="16"/>
      <c r="O177" s="4" t="str">
        <f aca="false">IF(OR(H177="",N177=""),"",ABS(N177-H177))</f>
        <v/>
      </c>
      <c r="P177" s="4" t="str">
        <f aca="false">IF(J177="","",ABS(J177))</f>
        <v/>
      </c>
      <c r="Q177" s="16"/>
      <c r="R177" s="16"/>
      <c r="S177" s="16"/>
      <c r="T177" s="16"/>
    </row>
    <row r="178" customFormat="false" ht="15" hidden="false" customHeight="false" outlineLevel="0" collapsed="false">
      <c r="A178" s="16"/>
      <c r="B178" s="16"/>
      <c r="C178" s="16"/>
      <c r="D178" s="16"/>
      <c r="E178" s="16"/>
      <c r="F178" s="16"/>
      <c r="G178" s="16"/>
      <c r="H178" s="16"/>
      <c r="I178" s="16"/>
      <c r="J178" s="4" t="str">
        <f aca="false">IF(OR(H178="",I178=""),"",I178-H178)</f>
        <v/>
      </c>
      <c r="K178" s="4" t="str">
        <f aca="false">IF(J178="","",IF(ABS(J178)&lt;=1,"Yes","No"))</f>
        <v/>
      </c>
      <c r="L178" s="4" t="str">
        <f aca="false">IF(J178="","",IF(ABS(J178)&lt;=2,"Yes","No"))</f>
        <v/>
      </c>
      <c r="M178" s="16"/>
      <c r="N178" s="16"/>
      <c r="O178" s="4" t="str">
        <f aca="false">IF(OR(H178="",N178=""),"",ABS(N178-H178))</f>
        <v/>
      </c>
      <c r="P178" s="4" t="str">
        <f aca="false">IF(J178="","",ABS(J178))</f>
        <v/>
      </c>
      <c r="Q178" s="16"/>
      <c r="R178" s="16"/>
      <c r="S178" s="16"/>
      <c r="T178" s="16"/>
    </row>
    <row r="179" customFormat="false" ht="15" hidden="false" customHeight="false" outlineLevel="0" collapsed="false">
      <c r="A179" s="16"/>
      <c r="B179" s="16"/>
      <c r="C179" s="16"/>
      <c r="D179" s="16"/>
      <c r="E179" s="16"/>
      <c r="F179" s="16"/>
      <c r="G179" s="16"/>
      <c r="H179" s="16"/>
      <c r="I179" s="16"/>
      <c r="J179" s="4" t="str">
        <f aca="false">IF(OR(H179="",I179=""),"",I179-H179)</f>
        <v/>
      </c>
      <c r="K179" s="4" t="str">
        <f aca="false">IF(J179="","",IF(ABS(J179)&lt;=1,"Yes","No"))</f>
        <v/>
      </c>
      <c r="L179" s="4" t="str">
        <f aca="false">IF(J179="","",IF(ABS(J179)&lt;=2,"Yes","No"))</f>
        <v/>
      </c>
      <c r="M179" s="16"/>
      <c r="N179" s="16"/>
      <c r="O179" s="4" t="str">
        <f aca="false">IF(OR(H179="",N179=""),"",ABS(N179-H179))</f>
        <v/>
      </c>
      <c r="P179" s="4" t="str">
        <f aca="false">IF(J179="","",ABS(J179))</f>
        <v/>
      </c>
      <c r="Q179" s="16"/>
      <c r="R179" s="16"/>
      <c r="S179" s="16"/>
      <c r="T179" s="16"/>
    </row>
    <row r="180" customFormat="false" ht="15" hidden="false" customHeight="false" outlineLevel="0" collapsed="false">
      <c r="A180" s="16"/>
      <c r="B180" s="16"/>
      <c r="C180" s="16"/>
      <c r="D180" s="16"/>
      <c r="E180" s="16"/>
      <c r="F180" s="16"/>
      <c r="G180" s="16"/>
      <c r="H180" s="16"/>
      <c r="I180" s="16"/>
      <c r="J180" s="4" t="str">
        <f aca="false">IF(OR(H180="",I180=""),"",I180-H180)</f>
        <v/>
      </c>
      <c r="K180" s="4" t="str">
        <f aca="false">IF(J180="","",IF(ABS(J180)&lt;=1,"Yes","No"))</f>
        <v/>
      </c>
      <c r="L180" s="4" t="str">
        <f aca="false">IF(J180="","",IF(ABS(J180)&lt;=2,"Yes","No"))</f>
        <v/>
      </c>
      <c r="M180" s="16"/>
      <c r="N180" s="16"/>
      <c r="O180" s="4" t="str">
        <f aca="false">IF(OR(H180="",N180=""),"",ABS(N180-H180))</f>
        <v/>
      </c>
      <c r="P180" s="4" t="str">
        <f aca="false">IF(J180="","",ABS(J180))</f>
        <v/>
      </c>
      <c r="Q180" s="16"/>
      <c r="R180" s="16"/>
      <c r="S180" s="16"/>
      <c r="T180" s="16"/>
    </row>
    <row r="181" customFormat="false" ht="15" hidden="false" customHeight="false" outlineLevel="0" collapsed="false">
      <c r="A181" s="16"/>
      <c r="B181" s="16"/>
      <c r="C181" s="16"/>
      <c r="D181" s="16"/>
      <c r="E181" s="16"/>
      <c r="F181" s="16"/>
      <c r="G181" s="16"/>
      <c r="H181" s="16"/>
      <c r="I181" s="16"/>
      <c r="J181" s="4" t="str">
        <f aca="false">IF(OR(H181="",I181=""),"",I181-H181)</f>
        <v/>
      </c>
      <c r="K181" s="4" t="str">
        <f aca="false">IF(J181="","",IF(ABS(J181)&lt;=1,"Yes","No"))</f>
        <v/>
      </c>
      <c r="L181" s="4" t="str">
        <f aca="false">IF(J181="","",IF(ABS(J181)&lt;=2,"Yes","No"))</f>
        <v/>
      </c>
      <c r="M181" s="16"/>
      <c r="N181" s="16"/>
      <c r="O181" s="4" t="str">
        <f aca="false">IF(OR(H181="",N181=""),"",ABS(N181-H181))</f>
        <v/>
      </c>
      <c r="P181" s="4" t="str">
        <f aca="false">IF(J181="","",ABS(J181))</f>
        <v/>
      </c>
      <c r="Q181" s="16"/>
      <c r="R181" s="16"/>
      <c r="S181" s="16"/>
      <c r="T181" s="16"/>
    </row>
    <row r="182" customFormat="false" ht="15" hidden="false" customHeight="false" outlineLevel="0" collapsed="false">
      <c r="A182" s="16"/>
      <c r="B182" s="16"/>
      <c r="C182" s="16"/>
      <c r="D182" s="16"/>
      <c r="E182" s="16"/>
      <c r="F182" s="16"/>
      <c r="G182" s="16"/>
      <c r="H182" s="16"/>
      <c r="I182" s="16"/>
      <c r="J182" s="4" t="str">
        <f aca="false">IF(OR(H182="",I182=""),"",I182-H182)</f>
        <v/>
      </c>
      <c r="K182" s="4" t="str">
        <f aca="false">IF(J182="","",IF(ABS(J182)&lt;=1,"Yes","No"))</f>
        <v/>
      </c>
      <c r="L182" s="4" t="str">
        <f aca="false">IF(J182="","",IF(ABS(J182)&lt;=2,"Yes","No"))</f>
        <v/>
      </c>
      <c r="M182" s="16"/>
      <c r="N182" s="16"/>
      <c r="O182" s="4" t="str">
        <f aca="false">IF(OR(H182="",N182=""),"",ABS(N182-H182))</f>
        <v/>
      </c>
      <c r="P182" s="4" t="str">
        <f aca="false">IF(J182="","",ABS(J182))</f>
        <v/>
      </c>
      <c r="Q182" s="16"/>
      <c r="R182" s="16"/>
      <c r="S182" s="16"/>
      <c r="T182" s="16"/>
    </row>
    <row r="183" customFormat="false" ht="15" hidden="false" customHeight="false" outlineLevel="0" collapsed="false">
      <c r="A183" s="16"/>
      <c r="B183" s="16"/>
      <c r="C183" s="16"/>
      <c r="D183" s="16"/>
      <c r="E183" s="16"/>
      <c r="F183" s="16"/>
      <c r="G183" s="16"/>
      <c r="H183" s="16"/>
      <c r="I183" s="16"/>
      <c r="J183" s="4" t="str">
        <f aca="false">IF(OR(H183="",I183=""),"",I183-H183)</f>
        <v/>
      </c>
      <c r="K183" s="4" t="str">
        <f aca="false">IF(J183="","",IF(ABS(J183)&lt;=1,"Yes","No"))</f>
        <v/>
      </c>
      <c r="L183" s="4" t="str">
        <f aca="false">IF(J183="","",IF(ABS(J183)&lt;=2,"Yes","No"))</f>
        <v/>
      </c>
      <c r="M183" s="16"/>
      <c r="N183" s="16"/>
      <c r="O183" s="4" t="str">
        <f aca="false">IF(OR(H183="",N183=""),"",ABS(N183-H183))</f>
        <v/>
      </c>
      <c r="P183" s="4" t="str">
        <f aca="false">IF(J183="","",ABS(J183))</f>
        <v/>
      </c>
      <c r="Q183" s="16"/>
      <c r="R183" s="16"/>
      <c r="S183" s="16"/>
      <c r="T183" s="16"/>
    </row>
    <row r="184" customFormat="false" ht="15" hidden="false" customHeight="false" outlineLevel="0" collapsed="false">
      <c r="A184" s="16"/>
      <c r="B184" s="16"/>
      <c r="C184" s="16"/>
      <c r="D184" s="16"/>
      <c r="E184" s="16"/>
      <c r="F184" s="16"/>
      <c r="G184" s="16"/>
      <c r="H184" s="16"/>
      <c r="I184" s="16"/>
      <c r="J184" s="4" t="str">
        <f aca="false">IF(OR(H184="",I184=""),"",I184-H184)</f>
        <v/>
      </c>
      <c r="K184" s="4" t="str">
        <f aca="false">IF(J184="","",IF(ABS(J184)&lt;=1,"Yes","No"))</f>
        <v/>
      </c>
      <c r="L184" s="4" t="str">
        <f aca="false">IF(J184="","",IF(ABS(J184)&lt;=2,"Yes","No"))</f>
        <v/>
      </c>
      <c r="M184" s="16"/>
      <c r="N184" s="16"/>
      <c r="O184" s="4" t="str">
        <f aca="false">IF(OR(H184="",N184=""),"",ABS(N184-H184))</f>
        <v/>
      </c>
      <c r="P184" s="4" t="str">
        <f aca="false">IF(J184="","",ABS(J184))</f>
        <v/>
      </c>
      <c r="Q184" s="16"/>
      <c r="R184" s="16"/>
      <c r="S184" s="16"/>
      <c r="T184" s="16"/>
    </row>
    <row r="185" customFormat="false" ht="15" hidden="false" customHeight="false" outlineLevel="0" collapsed="false">
      <c r="A185" s="16"/>
      <c r="B185" s="16"/>
      <c r="C185" s="16"/>
      <c r="D185" s="16"/>
      <c r="E185" s="16"/>
      <c r="F185" s="16"/>
      <c r="G185" s="16"/>
      <c r="H185" s="16"/>
      <c r="I185" s="16"/>
      <c r="J185" s="4" t="str">
        <f aca="false">IF(OR(H185="",I185=""),"",I185-H185)</f>
        <v/>
      </c>
      <c r="K185" s="4" t="str">
        <f aca="false">IF(J185="","",IF(ABS(J185)&lt;=1,"Yes","No"))</f>
        <v/>
      </c>
      <c r="L185" s="4" t="str">
        <f aca="false">IF(J185="","",IF(ABS(J185)&lt;=2,"Yes","No"))</f>
        <v/>
      </c>
      <c r="M185" s="16"/>
      <c r="N185" s="16"/>
      <c r="O185" s="4" t="str">
        <f aca="false">IF(OR(H185="",N185=""),"",ABS(N185-H185))</f>
        <v/>
      </c>
      <c r="P185" s="4" t="str">
        <f aca="false">IF(J185="","",ABS(J185))</f>
        <v/>
      </c>
      <c r="Q185" s="16"/>
      <c r="R185" s="16"/>
      <c r="S185" s="16"/>
      <c r="T185" s="16"/>
    </row>
    <row r="186" customFormat="false" ht="15" hidden="false" customHeight="false" outlineLevel="0" collapsed="false">
      <c r="A186" s="16"/>
      <c r="B186" s="16"/>
      <c r="C186" s="16"/>
      <c r="D186" s="16"/>
      <c r="E186" s="16"/>
      <c r="F186" s="16"/>
      <c r="G186" s="16"/>
      <c r="H186" s="16"/>
      <c r="I186" s="16"/>
      <c r="J186" s="4" t="str">
        <f aca="false">IF(OR(H186="",I186=""),"",I186-H186)</f>
        <v/>
      </c>
      <c r="K186" s="4" t="str">
        <f aca="false">IF(J186="","",IF(ABS(J186)&lt;=1,"Yes","No"))</f>
        <v/>
      </c>
      <c r="L186" s="4" t="str">
        <f aca="false">IF(J186="","",IF(ABS(J186)&lt;=2,"Yes","No"))</f>
        <v/>
      </c>
      <c r="M186" s="16"/>
      <c r="N186" s="16"/>
      <c r="O186" s="4" t="str">
        <f aca="false">IF(OR(H186="",N186=""),"",ABS(N186-H186))</f>
        <v/>
      </c>
      <c r="P186" s="4" t="str">
        <f aca="false">IF(J186="","",ABS(J186))</f>
        <v/>
      </c>
      <c r="Q186" s="16"/>
      <c r="R186" s="16"/>
      <c r="S186" s="16"/>
      <c r="T186" s="16"/>
    </row>
    <row r="187" customFormat="false" ht="15" hidden="false" customHeight="false" outlineLevel="0" collapsed="false">
      <c r="A187" s="16"/>
      <c r="B187" s="16"/>
      <c r="C187" s="16"/>
      <c r="D187" s="16"/>
      <c r="E187" s="16"/>
      <c r="F187" s="16"/>
      <c r="G187" s="16"/>
      <c r="H187" s="16"/>
      <c r="I187" s="16"/>
      <c r="J187" s="4" t="str">
        <f aca="false">IF(OR(H187="",I187=""),"",I187-H187)</f>
        <v/>
      </c>
      <c r="K187" s="4" t="str">
        <f aca="false">IF(J187="","",IF(ABS(J187)&lt;=1,"Yes","No"))</f>
        <v/>
      </c>
      <c r="L187" s="4" t="str">
        <f aca="false">IF(J187="","",IF(ABS(J187)&lt;=2,"Yes","No"))</f>
        <v/>
      </c>
      <c r="M187" s="16"/>
      <c r="N187" s="16"/>
      <c r="O187" s="4" t="str">
        <f aca="false">IF(OR(H187="",N187=""),"",ABS(N187-H187))</f>
        <v/>
      </c>
      <c r="P187" s="4" t="str">
        <f aca="false">IF(J187="","",ABS(J187))</f>
        <v/>
      </c>
      <c r="Q187" s="16"/>
      <c r="R187" s="16"/>
      <c r="S187" s="16"/>
      <c r="T187" s="16"/>
    </row>
    <row r="188" customFormat="false" ht="15" hidden="false" customHeight="false" outlineLevel="0" collapsed="false">
      <c r="A188" s="16"/>
      <c r="B188" s="16"/>
      <c r="C188" s="16"/>
      <c r="D188" s="16"/>
      <c r="E188" s="16"/>
      <c r="F188" s="16"/>
      <c r="G188" s="16"/>
      <c r="H188" s="16"/>
      <c r="I188" s="16"/>
      <c r="J188" s="4" t="str">
        <f aca="false">IF(OR(H188="",I188=""),"",I188-H188)</f>
        <v/>
      </c>
      <c r="K188" s="4" t="str">
        <f aca="false">IF(J188="","",IF(ABS(J188)&lt;=1,"Yes","No"))</f>
        <v/>
      </c>
      <c r="L188" s="4" t="str">
        <f aca="false">IF(J188="","",IF(ABS(J188)&lt;=2,"Yes","No"))</f>
        <v/>
      </c>
      <c r="M188" s="16"/>
      <c r="N188" s="16"/>
      <c r="O188" s="4" t="str">
        <f aca="false">IF(OR(H188="",N188=""),"",ABS(N188-H188))</f>
        <v/>
      </c>
      <c r="P188" s="4" t="str">
        <f aca="false">IF(J188="","",ABS(J188))</f>
        <v/>
      </c>
      <c r="Q188" s="16"/>
      <c r="R188" s="16"/>
      <c r="S188" s="16"/>
      <c r="T188" s="16"/>
    </row>
    <row r="189" customFormat="false" ht="15" hidden="false" customHeight="false" outlineLevel="0" collapsed="false">
      <c r="A189" s="16"/>
      <c r="B189" s="16"/>
      <c r="C189" s="16"/>
      <c r="D189" s="16"/>
      <c r="E189" s="16"/>
      <c r="F189" s="16"/>
      <c r="G189" s="16"/>
      <c r="H189" s="16"/>
      <c r="I189" s="16"/>
      <c r="J189" s="4" t="str">
        <f aca="false">IF(OR(H189="",I189=""),"",I189-H189)</f>
        <v/>
      </c>
      <c r="K189" s="4" t="str">
        <f aca="false">IF(J189="","",IF(ABS(J189)&lt;=1,"Yes","No"))</f>
        <v/>
      </c>
      <c r="L189" s="4" t="str">
        <f aca="false">IF(J189="","",IF(ABS(J189)&lt;=2,"Yes","No"))</f>
        <v/>
      </c>
      <c r="M189" s="16"/>
      <c r="N189" s="16"/>
      <c r="O189" s="4" t="str">
        <f aca="false">IF(OR(H189="",N189=""),"",ABS(N189-H189))</f>
        <v/>
      </c>
      <c r="P189" s="4" t="str">
        <f aca="false">IF(J189="","",ABS(J189))</f>
        <v/>
      </c>
      <c r="Q189" s="16"/>
      <c r="R189" s="16"/>
      <c r="S189" s="16"/>
      <c r="T189" s="16"/>
    </row>
    <row r="190" customFormat="false" ht="15" hidden="false" customHeight="false" outlineLevel="0" collapsed="false">
      <c r="A190" s="16"/>
      <c r="B190" s="16"/>
      <c r="C190" s="16"/>
      <c r="D190" s="16"/>
      <c r="E190" s="16"/>
      <c r="F190" s="16"/>
      <c r="G190" s="16"/>
      <c r="H190" s="16"/>
      <c r="I190" s="16"/>
      <c r="J190" s="4" t="str">
        <f aca="false">IF(OR(H190="",I190=""),"",I190-H190)</f>
        <v/>
      </c>
      <c r="K190" s="4" t="str">
        <f aca="false">IF(J190="","",IF(ABS(J190)&lt;=1,"Yes","No"))</f>
        <v/>
      </c>
      <c r="L190" s="4" t="str">
        <f aca="false">IF(J190="","",IF(ABS(J190)&lt;=2,"Yes","No"))</f>
        <v/>
      </c>
      <c r="M190" s="16"/>
      <c r="N190" s="16"/>
      <c r="O190" s="4" t="str">
        <f aca="false">IF(OR(H190="",N190=""),"",ABS(N190-H190))</f>
        <v/>
      </c>
      <c r="P190" s="4" t="str">
        <f aca="false">IF(J190="","",ABS(J190))</f>
        <v/>
      </c>
      <c r="Q190" s="16"/>
      <c r="R190" s="16"/>
      <c r="S190" s="16"/>
      <c r="T190" s="16"/>
    </row>
    <row r="191" customFormat="false" ht="15" hidden="false" customHeight="false" outlineLevel="0" collapsed="false">
      <c r="A191" s="16"/>
      <c r="B191" s="16"/>
      <c r="C191" s="16"/>
      <c r="D191" s="16"/>
      <c r="E191" s="16"/>
      <c r="F191" s="16"/>
      <c r="G191" s="16"/>
      <c r="H191" s="16"/>
      <c r="I191" s="16"/>
      <c r="J191" s="4" t="str">
        <f aca="false">IF(OR(H191="",I191=""),"",I191-H191)</f>
        <v/>
      </c>
      <c r="K191" s="4" t="str">
        <f aca="false">IF(J191="","",IF(ABS(J191)&lt;=1,"Yes","No"))</f>
        <v/>
      </c>
      <c r="L191" s="4" t="str">
        <f aca="false">IF(J191="","",IF(ABS(J191)&lt;=2,"Yes","No"))</f>
        <v/>
      </c>
      <c r="M191" s="16"/>
      <c r="N191" s="16"/>
      <c r="O191" s="4" t="str">
        <f aca="false">IF(OR(H191="",N191=""),"",ABS(N191-H191))</f>
        <v/>
      </c>
      <c r="P191" s="4" t="str">
        <f aca="false">IF(J191="","",ABS(J191))</f>
        <v/>
      </c>
      <c r="Q191" s="16"/>
      <c r="R191" s="16"/>
      <c r="S191" s="16"/>
      <c r="T191" s="16"/>
    </row>
    <row r="192" customFormat="false" ht="15" hidden="false" customHeight="false" outlineLevel="0" collapsed="false">
      <c r="A192" s="16"/>
      <c r="B192" s="16"/>
      <c r="C192" s="16"/>
      <c r="D192" s="16"/>
      <c r="E192" s="16"/>
      <c r="F192" s="16"/>
      <c r="G192" s="16"/>
      <c r="H192" s="16"/>
      <c r="I192" s="16"/>
      <c r="J192" s="4" t="str">
        <f aca="false">IF(OR(H192="",I192=""),"",I192-H192)</f>
        <v/>
      </c>
      <c r="K192" s="4" t="str">
        <f aca="false">IF(J192="","",IF(ABS(J192)&lt;=1,"Yes","No"))</f>
        <v/>
      </c>
      <c r="L192" s="4" t="str">
        <f aca="false">IF(J192="","",IF(ABS(J192)&lt;=2,"Yes","No"))</f>
        <v/>
      </c>
      <c r="M192" s="16"/>
      <c r="N192" s="16"/>
      <c r="O192" s="4" t="str">
        <f aca="false">IF(OR(H192="",N192=""),"",ABS(N192-H192))</f>
        <v/>
      </c>
      <c r="P192" s="4" t="str">
        <f aca="false">IF(J192="","",ABS(J192))</f>
        <v/>
      </c>
      <c r="Q192" s="16"/>
      <c r="R192" s="16"/>
      <c r="S192" s="16"/>
      <c r="T192" s="16"/>
    </row>
    <row r="193" customFormat="false" ht="15" hidden="false" customHeight="false" outlineLevel="0" collapsed="false">
      <c r="A193" s="16"/>
      <c r="B193" s="16"/>
      <c r="C193" s="16"/>
      <c r="D193" s="16"/>
      <c r="E193" s="16"/>
      <c r="F193" s="16"/>
      <c r="G193" s="16"/>
      <c r="H193" s="16"/>
      <c r="I193" s="16"/>
      <c r="J193" s="4" t="str">
        <f aca="false">IF(OR(H193="",I193=""),"",I193-H193)</f>
        <v/>
      </c>
      <c r="K193" s="4" t="str">
        <f aca="false">IF(J193="","",IF(ABS(J193)&lt;=1,"Yes","No"))</f>
        <v/>
      </c>
      <c r="L193" s="4" t="str">
        <f aca="false">IF(J193="","",IF(ABS(J193)&lt;=2,"Yes","No"))</f>
        <v/>
      </c>
      <c r="M193" s="16"/>
      <c r="N193" s="16"/>
      <c r="O193" s="4" t="str">
        <f aca="false">IF(OR(H193="",N193=""),"",ABS(N193-H193))</f>
        <v/>
      </c>
      <c r="P193" s="4" t="str">
        <f aca="false">IF(J193="","",ABS(J193))</f>
        <v/>
      </c>
      <c r="Q193" s="16"/>
      <c r="R193" s="16"/>
      <c r="S193" s="16"/>
      <c r="T193" s="16"/>
    </row>
    <row r="194" customFormat="false" ht="15" hidden="false" customHeight="false" outlineLevel="0" collapsed="false">
      <c r="A194" s="16"/>
      <c r="B194" s="16"/>
      <c r="C194" s="16"/>
      <c r="D194" s="16"/>
      <c r="E194" s="16"/>
      <c r="F194" s="16"/>
      <c r="G194" s="16"/>
      <c r="H194" s="16"/>
      <c r="I194" s="16"/>
      <c r="J194" s="4" t="str">
        <f aca="false">IF(OR(H194="",I194=""),"",I194-H194)</f>
        <v/>
      </c>
      <c r="K194" s="4" t="str">
        <f aca="false">IF(J194="","",IF(ABS(J194)&lt;=1,"Yes","No"))</f>
        <v/>
      </c>
      <c r="L194" s="4" t="str">
        <f aca="false">IF(J194="","",IF(ABS(J194)&lt;=2,"Yes","No"))</f>
        <v/>
      </c>
      <c r="M194" s="16"/>
      <c r="N194" s="16"/>
      <c r="O194" s="4" t="str">
        <f aca="false">IF(OR(H194="",N194=""),"",ABS(N194-H194))</f>
        <v/>
      </c>
      <c r="P194" s="4" t="str">
        <f aca="false">IF(J194="","",ABS(J194))</f>
        <v/>
      </c>
      <c r="Q194" s="16"/>
      <c r="R194" s="16"/>
      <c r="S194" s="16"/>
      <c r="T194" s="16"/>
    </row>
    <row r="195" customFormat="false" ht="15" hidden="false" customHeight="false" outlineLevel="0" collapsed="false">
      <c r="A195" s="16"/>
      <c r="B195" s="16"/>
      <c r="C195" s="16"/>
      <c r="D195" s="16"/>
      <c r="E195" s="16"/>
      <c r="F195" s="16"/>
      <c r="G195" s="16"/>
      <c r="H195" s="16"/>
      <c r="I195" s="16"/>
      <c r="J195" s="4" t="str">
        <f aca="false">IF(OR(H195="",I195=""),"",I195-H195)</f>
        <v/>
      </c>
      <c r="K195" s="4" t="str">
        <f aca="false">IF(J195="","",IF(ABS(J195)&lt;=1,"Yes","No"))</f>
        <v/>
      </c>
      <c r="L195" s="4" t="str">
        <f aca="false">IF(J195="","",IF(ABS(J195)&lt;=2,"Yes","No"))</f>
        <v/>
      </c>
      <c r="M195" s="16"/>
      <c r="N195" s="16"/>
      <c r="O195" s="4" t="str">
        <f aca="false">IF(OR(H195="",N195=""),"",ABS(N195-H195))</f>
        <v/>
      </c>
      <c r="P195" s="4" t="str">
        <f aca="false">IF(J195="","",ABS(J195))</f>
        <v/>
      </c>
      <c r="Q195" s="16"/>
      <c r="R195" s="16"/>
      <c r="S195" s="16"/>
      <c r="T195" s="16"/>
    </row>
    <row r="196" customFormat="false" ht="15" hidden="false" customHeight="false" outlineLevel="0" collapsed="false">
      <c r="A196" s="16"/>
      <c r="B196" s="16"/>
      <c r="C196" s="16"/>
      <c r="D196" s="16"/>
      <c r="E196" s="16"/>
      <c r="F196" s="16"/>
      <c r="G196" s="16"/>
      <c r="H196" s="16"/>
      <c r="I196" s="16"/>
      <c r="J196" s="4" t="str">
        <f aca="false">IF(OR(H196="",I196=""),"",I196-H196)</f>
        <v/>
      </c>
      <c r="K196" s="4" t="str">
        <f aca="false">IF(J196="","",IF(ABS(J196)&lt;=1,"Yes","No"))</f>
        <v/>
      </c>
      <c r="L196" s="4" t="str">
        <f aca="false">IF(J196="","",IF(ABS(J196)&lt;=2,"Yes","No"))</f>
        <v/>
      </c>
      <c r="M196" s="16"/>
      <c r="N196" s="16"/>
      <c r="O196" s="4" t="str">
        <f aca="false">IF(OR(H196="",N196=""),"",ABS(N196-H196))</f>
        <v/>
      </c>
      <c r="P196" s="4" t="str">
        <f aca="false">IF(J196="","",ABS(J196))</f>
        <v/>
      </c>
      <c r="Q196" s="16"/>
      <c r="R196" s="16"/>
      <c r="S196" s="16"/>
      <c r="T196" s="16"/>
    </row>
    <row r="197" customFormat="false" ht="15" hidden="false" customHeight="false" outlineLevel="0" collapsed="false">
      <c r="A197" s="16"/>
      <c r="B197" s="16"/>
      <c r="C197" s="16"/>
      <c r="D197" s="16"/>
      <c r="E197" s="16"/>
      <c r="F197" s="16"/>
      <c r="G197" s="16"/>
      <c r="H197" s="16"/>
      <c r="I197" s="16"/>
      <c r="J197" s="4" t="str">
        <f aca="false">IF(OR(H197="",I197=""),"",I197-H197)</f>
        <v/>
      </c>
      <c r="K197" s="4" t="str">
        <f aca="false">IF(J197="","",IF(ABS(J197)&lt;=1,"Yes","No"))</f>
        <v/>
      </c>
      <c r="L197" s="4" t="str">
        <f aca="false">IF(J197="","",IF(ABS(J197)&lt;=2,"Yes","No"))</f>
        <v/>
      </c>
      <c r="M197" s="16"/>
      <c r="N197" s="16"/>
      <c r="O197" s="4" t="str">
        <f aca="false">IF(OR(H197="",N197=""),"",ABS(N197-H197))</f>
        <v/>
      </c>
      <c r="P197" s="4" t="str">
        <f aca="false">IF(J197="","",ABS(J197))</f>
        <v/>
      </c>
      <c r="Q197" s="16"/>
      <c r="R197" s="16"/>
      <c r="S197" s="16"/>
      <c r="T197" s="16"/>
    </row>
    <row r="198" customFormat="false" ht="15" hidden="false" customHeight="false" outlineLevel="0" collapsed="false">
      <c r="A198" s="16"/>
      <c r="B198" s="16"/>
      <c r="C198" s="16"/>
      <c r="D198" s="16"/>
      <c r="E198" s="16"/>
      <c r="F198" s="16"/>
      <c r="G198" s="16"/>
      <c r="H198" s="16"/>
      <c r="I198" s="16"/>
      <c r="J198" s="4" t="str">
        <f aca="false">IF(OR(H198="",I198=""),"",I198-H198)</f>
        <v/>
      </c>
      <c r="K198" s="4" t="str">
        <f aca="false">IF(J198="","",IF(ABS(J198)&lt;=1,"Yes","No"))</f>
        <v/>
      </c>
      <c r="L198" s="4" t="str">
        <f aca="false">IF(J198="","",IF(ABS(J198)&lt;=2,"Yes","No"))</f>
        <v/>
      </c>
      <c r="M198" s="16"/>
      <c r="N198" s="16"/>
      <c r="O198" s="4" t="str">
        <f aca="false">IF(OR(H198="",N198=""),"",ABS(N198-H198))</f>
        <v/>
      </c>
      <c r="P198" s="4" t="str">
        <f aca="false">IF(J198="","",ABS(J198))</f>
        <v/>
      </c>
      <c r="Q198" s="16"/>
      <c r="R198" s="16"/>
      <c r="S198" s="16"/>
      <c r="T198" s="16"/>
    </row>
    <row r="199" customFormat="false" ht="15" hidden="false" customHeight="false" outlineLevel="0" collapsed="false">
      <c r="A199" s="16"/>
      <c r="B199" s="16"/>
      <c r="C199" s="16"/>
      <c r="D199" s="16"/>
      <c r="E199" s="16"/>
      <c r="F199" s="16"/>
      <c r="G199" s="16"/>
      <c r="H199" s="16"/>
      <c r="I199" s="16"/>
      <c r="J199" s="4" t="str">
        <f aca="false">IF(OR(H199="",I199=""),"",I199-H199)</f>
        <v/>
      </c>
      <c r="K199" s="4" t="str">
        <f aca="false">IF(J199="","",IF(ABS(J199)&lt;=1,"Yes","No"))</f>
        <v/>
      </c>
      <c r="L199" s="4" t="str">
        <f aca="false">IF(J199="","",IF(ABS(J199)&lt;=2,"Yes","No"))</f>
        <v/>
      </c>
      <c r="M199" s="16"/>
      <c r="N199" s="16"/>
      <c r="O199" s="4" t="str">
        <f aca="false">IF(OR(H199="",N199=""),"",ABS(N199-H199))</f>
        <v/>
      </c>
      <c r="P199" s="4" t="str">
        <f aca="false">IF(J199="","",ABS(J199))</f>
        <v/>
      </c>
      <c r="Q199" s="16"/>
      <c r="R199" s="16"/>
      <c r="S199" s="16"/>
      <c r="T199" s="16"/>
    </row>
    <row r="200" customFormat="false" ht="15" hidden="false" customHeight="false" outlineLevel="0" collapsed="false">
      <c r="A200" s="16"/>
      <c r="B200" s="16"/>
      <c r="C200" s="16"/>
      <c r="D200" s="16"/>
      <c r="E200" s="16"/>
      <c r="F200" s="16"/>
      <c r="G200" s="16"/>
      <c r="H200" s="16"/>
      <c r="I200" s="16"/>
      <c r="J200" s="4" t="str">
        <f aca="false">IF(OR(H200="",I200=""),"",I200-H200)</f>
        <v/>
      </c>
      <c r="K200" s="4" t="str">
        <f aca="false">IF(J200="","",IF(ABS(J200)&lt;=1,"Yes","No"))</f>
        <v/>
      </c>
      <c r="L200" s="4" t="str">
        <f aca="false">IF(J200="","",IF(ABS(J200)&lt;=2,"Yes","No"))</f>
        <v/>
      </c>
      <c r="M200" s="16"/>
      <c r="N200" s="16"/>
      <c r="O200" s="4" t="str">
        <f aca="false">IF(OR(H200="",N200=""),"",ABS(N200-H200))</f>
        <v/>
      </c>
      <c r="P200" s="4" t="str">
        <f aca="false">IF(J200="","",ABS(J200))</f>
        <v/>
      </c>
      <c r="Q200" s="16"/>
      <c r="R200" s="16"/>
      <c r="S200" s="16"/>
      <c r="T200" s="16"/>
    </row>
    <row r="201" customFormat="false" ht="15" hidden="false" customHeight="false" outlineLevel="0" collapsed="false">
      <c r="A201" s="16"/>
      <c r="B201" s="16"/>
      <c r="C201" s="16"/>
      <c r="D201" s="16"/>
      <c r="E201" s="16"/>
      <c r="F201" s="16"/>
      <c r="G201" s="16"/>
      <c r="H201" s="16"/>
      <c r="I201" s="16"/>
      <c r="J201" s="4" t="str">
        <f aca="false">IF(OR(H201="",I201=""),"",I201-H201)</f>
        <v/>
      </c>
      <c r="K201" s="4" t="str">
        <f aca="false">IF(J201="","",IF(ABS(J201)&lt;=1,"Yes","No"))</f>
        <v/>
      </c>
      <c r="L201" s="4" t="str">
        <f aca="false">IF(J201="","",IF(ABS(J201)&lt;=2,"Yes","No"))</f>
        <v/>
      </c>
      <c r="M201" s="16"/>
      <c r="N201" s="16"/>
      <c r="O201" s="4" t="str">
        <f aca="false">IF(OR(H201="",N201=""),"",ABS(N201-H201))</f>
        <v/>
      </c>
      <c r="P201" s="4" t="str">
        <f aca="false">IF(J201="","",ABS(J201))</f>
        <v/>
      </c>
      <c r="Q201" s="16"/>
      <c r="R201" s="16"/>
      <c r="S201" s="16"/>
      <c r="T201" s="16"/>
    </row>
  </sheetData>
  <dataValidations count="5">
    <dataValidation allowBlank="true" errorStyle="stop" operator="between" showDropDown="false" showErrorMessage="false" showInputMessage="false" sqref="D2:D201" type="list">
      <formula1>"curl,raise,press"</formula1>
      <formula2>0</formula2>
    </dataValidation>
    <dataValidation allowBlank="true" errorStyle="stop" operator="between" showDropDown="false" showErrorMessage="false" showInputMessage="false" sqref="E2:E201" type="list">
      <formula1>"slow,normal,fast"</formula1>
      <formula2>0</formula2>
    </dataValidation>
    <dataValidation allowBlank="true" errorStyle="stop" operator="between" showDropDown="false" showErrorMessage="false" showInputMessage="false" sqref="F2:F201" type="list">
      <formula1>"clean,momentum,mixed"</formula1>
      <formula2>0</formula2>
    </dataValidation>
    <dataValidation allowBlank="true" errorStyle="stop" operator="between" showDropDown="false" showErrorMessage="false" showInputMessage="false" sqref="M2:M201" type="list">
      <formula1>"Yes,No,Example"</formula1>
      <formula2>0</formula2>
    </dataValidation>
    <dataValidation allowBlank="true" errorStyle="stop" operator="between" showDropDown="false" showErrorMessage="false" showInputMessage="false" sqref="Q2:Q201" type="list">
      <formula1>"L,R"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4" min="3" style="0" width="12"/>
    <col collapsed="false" customWidth="true" hidden="false" outlineLevel="0" max="7" min="5" style="0" width="11"/>
    <col collapsed="false" customWidth="true" hidden="false" outlineLevel="0" max="10" min="8" style="0" width="10"/>
    <col collapsed="false" customWidth="true" hidden="false" outlineLevel="0" max="11" min="11" style="0" width="30"/>
  </cols>
  <sheetData>
    <row r="1" customFormat="false" ht="31.5" hidden="false" customHeight="true" outlineLevel="0" collapsed="false">
      <c r="A1" s="14" t="s">
        <v>67</v>
      </c>
      <c r="B1" s="14" t="s">
        <v>41</v>
      </c>
      <c r="C1" s="14" t="s">
        <v>68</v>
      </c>
      <c r="D1" s="14" t="s">
        <v>69</v>
      </c>
      <c r="E1" s="14" t="s">
        <v>70</v>
      </c>
      <c r="F1" s="14" t="s">
        <v>71</v>
      </c>
      <c r="G1" s="14" t="s">
        <v>72</v>
      </c>
      <c r="H1" s="14" t="s">
        <v>73</v>
      </c>
      <c r="I1" s="14" t="s">
        <v>50</v>
      </c>
      <c r="J1" s="14" t="s">
        <v>74</v>
      </c>
      <c r="K1" s="14" t="s">
        <v>57</v>
      </c>
    </row>
    <row r="2" customFormat="false" ht="15" hidden="false" customHeight="false" outlineLevel="0" collapsed="false">
      <c r="A2" s="15" t="s">
        <v>58</v>
      </c>
      <c r="B2" s="15" t="s">
        <v>61</v>
      </c>
      <c r="C2" s="15" t="s">
        <v>75</v>
      </c>
      <c r="D2" s="15" t="s">
        <v>76</v>
      </c>
      <c r="E2" s="15" t="n">
        <v>92.4</v>
      </c>
      <c r="F2" s="15" t="n">
        <v>95.1</v>
      </c>
      <c r="G2" s="4" t="n">
        <f aca="false">IF(OR(E2="",F2=""),"",F2-E2)</f>
        <v>2.69999999999999</v>
      </c>
      <c r="H2" s="4" t="str">
        <f aca="false">IF(G2="","",IF(ABS(G2)&lt;=5,"Yes","No"))</f>
        <v>Yes</v>
      </c>
      <c r="I2" s="15" t="s">
        <v>64</v>
      </c>
      <c r="J2" s="15" t="s">
        <v>77</v>
      </c>
      <c r="K2" s="15" t="s">
        <v>66</v>
      </c>
    </row>
    <row r="3" customFormat="false" ht="15" hidden="false" customHeight="false" outlineLevel="0" collapsed="false">
      <c r="A3" s="16"/>
      <c r="B3" s="16"/>
      <c r="C3" s="16"/>
      <c r="D3" s="16"/>
      <c r="E3" s="16"/>
      <c r="F3" s="16"/>
      <c r="G3" s="4" t="str">
        <f aca="false">IF(OR(E3="",F3=""),"",F3-E3)</f>
        <v/>
      </c>
      <c r="H3" s="4" t="str">
        <f aca="false">IF(G3="","",IF(ABS(G3)&lt;=5,"Yes","No"))</f>
        <v/>
      </c>
      <c r="I3" s="16"/>
      <c r="J3" s="16"/>
      <c r="K3" s="16"/>
    </row>
    <row r="4" customFormat="false" ht="15" hidden="false" customHeight="false" outlineLevel="0" collapsed="false">
      <c r="A4" s="16"/>
      <c r="B4" s="16"/>
      <c r="C4" s="16"/>
      <c r="D4" s="16"/>
      <c r="E4" s="16"/>
      <c r="F4" s="16"/>
      <c r="G4" s="4" t="str">
        <f aca="false">IF(OR(E4="",F4=""),"",F4-E4)</f>
        <v/>
      </c>
      <c r="H4" s="4" t="str">
        <f aca="false">IF(G4="","",IF(ABS(G4)&lt;=5,"Yes","No"))</f>
        <v/>
      </c>
      <c r="I4" s="16"/>
      <c r="J4" s="16"/>
      <c r="K4" s="16"/>
    </row>
    <row r="5" customFormat="false" ht="15" hidden="false" customHeight="false" outlineLevel="0" collapsed="false">
      <c r="A5" s="16"/>
      <c r="B5" s="16"/>
      <c r="C5" s="16"/>
      <c r="D5" s="16"/>
      <c r="E5" s="16"/>
      <c r="F5" s="16"/>
      <c r="G5" s="4" t="str">
        <f aca="false">IF(OR(E5="",F5=""),"",F5-E5)</f>
        <v/>
      </c>
      <c r="H5" s="4" t="str">
        <f aca="false">IF(G5="","",IF(ABS(G5)&lt;=5,"Yes","No"))</f>
        <v/>
      </c>
      <c r="I5" s="16"/>
      <c r="J5" s="16"/>
      <c r="K5" s="16"/>
    </row>
    <row r="6" customFormat="false" ht="15" hidden="false" customHeight="false" outlineLevel="0" collapsed="false">
      <c r="A6" s="16"/>
      <c r="B6" s="16"/>
      <c r="C6" s="16"/>
      <c r="D6" s="16"/>
      <c r="E6" s="16"/>
      <c r="F6" s="16"/>
      <c r="G6" s="4" t="str">
        <f aca="false">IF(OR(E6="",F6=""),"",F6-E6)</f>
        <v/>
      </c>
      <c r="H6" s="4" t="str">
        <f aca="false">IF(G6="","",IF(ABS(G6)&lt;=5,"Yes","No"))</f>
        <v/>
      </c>
      <c r="I6" s="16"/>
      <c r="J6" s="16"/>
      <c r="K6" s="16"/>
    </row>
    <row r="7" customFormat="false" ht="15" hidden="false" customHeight="false" outlineLevel="0" collapsed="false">
      <c r="A7" s="16"/>
      <c r="B7" s="16"/>
      <c r="C7" s="16"/>
      <c r="D7" s="16"/>
      <c r="E7" s="16"/>
      <c r="F7" s="16"/>
      <c r="G7" s="4" t="str">
        <f aca="false">IF(OR(E7="",F7=""),"",F7-E7)</f>
        <v/>
      </c>
      <c r="H7" s="4" t="str">
        <f aca="false">IF(G7="","",IF(ABS(G7)&lt;=5,"Yes","No"))</f>
        <v/>
      </c>
      <c r="I7" s="16"/>
      <c r="J7" s="16"/>
      <c r="K7" s="16"/>
    </row>
    <row r="8" customFormat="false" ht="15" hidden="false" customHeight="false" outlineLevel="0" collapsed="false">
      <c r="A8" s="16"/>
      <c r="B8" s="16"/>
      <c r="C8" s="16"/>
      <c r="D8" s="16"/>
      <c r="E8" s="16"/>
      <c r="F8" s="16"/>
      <c r="G8" s="4" t="str">
        <f aca="false">IF(OR(E8="",F8=""),"",F8-E8)</f>
        <v/>
      </c>
      <c r="H8" s="4" t="str">
        <f aca="false">IF(G8="","",IF(ABS(G8)&lt;=5,"Yes","No"))</f>
        <v/>
      </c>
      <c r="I8" s="16"/>
      <c r="J8" s="16"/>
      <c r="K8" s="16"/>
    </row>
    <row r="9" customFormat="false" ht="15" hidden="false" customHeight="false" outlineLevel="0" collapsed="false">
      <c r="A9" s="16"/>
      <c r="B9" s="16"/>
      <c r="C9" s="16"/>
      <c r="D9" s="16"/>
      <c r="E9" s="16"/>
      <c r="F9" s="16"/>
      <c r="G9" s="4" t="str">
        <f aca="false">IF(OR(E9="",F9=""),"",F9-E9)</f>
        <v/>
      </c>
      <c r="H9" s="4" t="str">
        <f aca="false">IF(G9="","",IF(ABS(G9)&lt;=5,"Yes","No"))</f>
        <v/>
      </c>
      <c r="I9" s="16"/>
      <c r="J9" s="16"/>
      <c r="K9" s="16"/>
    </row>
    <row r="10" customFormat="false" ht="15" hidden="false" customHeight="false" outlineLevel="0" collapsed="false">
      <c r="A10" s="16"/>
      <c r="B10" s="16"/>
      <c r="C10" s="16"/>
      <c r="D10" s="16"/>
      <c r="E10" s="16"/>
      <c r="F10" s="16"/>
      <c r="G10" s="4" t="str">
        <f aca="false">IF(OR(E10="",F10=""),"",F10-E10)</f>
        <v/>
      </c>
      <c r="H10" s="4" t="str">
        <f aca="false">IF(G10="","",IF(ABS(G10)&lt;=5,"Yes","No"))</f>
        <v/>
      </c>
      <c r="I10" s="16"/>
      <c r="J10" s="16"/>
      <c r="K10" s="16"/>
    </row>
    <row r="11" customFormat="false" ht="15" hidden="false" customHeight="false" outlineLevel="0" collapsed="false">
      <c r="A11" s="16"/>
      <c r="B11" s="16"/>
      <c r="C11" s="16"/>
      <c r="D11" s="16"/>
      <c r="E11" s="16"/>
      <c r="F11" s="16"/>
      <c r="G11" s="4" t="str">
        <f aca="false">IF(OR(E11="",F11=""),"",F11-E11)</f>
        <v/>
      </c>
      <c r="H11" s="4" t="str">
        <f aca="false">IF(G11="","",IF(ABS(G11)&lt;=5,"Yes","No"))</f>
        <v/>
      </c>
      <c r="I11" s="16"/>
      <c r="J11" s="16"/>
      <c r="K11" s="16"/>
    </row>
    <row r="12" customFormat="false" ht="15" hidden="false" customHeight="false" outlineLevel="0" collapsed="false">
      <c r="A12" s="16"/>
      <c r="B12" s="16"/>
      <c r="C12" s="16"/>
      <c r="D12" s="16"/>
      <c r="E12" s="16"/>
      <c r="F12" s="16"/>
      <c r="G12" s="4" t="str">
        <f aca="false">IF(OR(E12="",F12=""),"",F12-E12)</f>
        <v/>
      </c>
      <c r="H12" s="4" t="str">
        <f aca="false">IF(G12="","",IF(ABS(G12)&lt;=5,"Yes","No"))</f>
        <v/>
      </c>
      <c r="I12" s="16"/>
      <c r="J12" s="16"/>
      <c r="K12" s="16"/>
    </row>
    <row r="13" customFormat="false" ht="15" hidden="false" customHeight="false" outlineLevel="0" collapsed="false">
      <c r="A13" s="16"/>
      <c r="B13" s="16"/>
      <c r="C13" s="16"/>
      <c r="D13" s="16"/>
      <c r="E13" s="16"/>
      <c r="F13" s="16"/>
      <c r="G13" s="4" t="str">
        <f aca="false">IF(OR(E13="",F13=""),"",F13-E13)</f>
        <v/>
      </c>
      <c r="H13" s="4" t="str">
        <f aca="false">IF(G13="","",IF(ABS(G13)&lt;=5,"Yes","No"))</f>
        <v/>
      </c>
      <c r="I13" s="16"/>
      <c r="J13" s="16"/>
      <c r="K13" s="16"/>
    </row>
    <row r="14" customFormat="false" ht="15" hidden="false" customHeight="false" outlineLevel="0" collapsed="false">
      <c r="A14" s="16"/>
      <c r="B14" s="16"/>
      <c r="C14" s="16"/>
      <c r="D14" s="16"/>
      <c r="E14" s="16"/>
      <c r="F14" s="16"/>
      <c r="G14" s="4" t="str">
        <f aca="false">IF(OR(E14="",F14=""),"",F14-E14)</f>
        <v/>
      </c>
      <c r="H14" s="4" t="str">
        <f aca="false">IF(G14="","",IF(ABS(G14)&lt;=5,"Yes","No"))</f>
        <v/>
      </c>
      <c r="I14" s="16"/>
      <c r="J14" s="16"/>
      <c r="K14" s="16"/>
    </row>
    <row r="15" customFormat="false" ht="15" hidden="false" customHeight="false" outlineLevel="0" collapsed="false">
      <c r="A15" s="16"/>
      <c r="B15" s="16"/>
      <c r="C15" s="16"/>
      <c r="D15" s="16"/>
      <c r="E15" s="16"/>
      <c r="F15" s="16"/>
      <c r="G15" s="4" t="str">
        <f aca="false">IF(OR(E15="",F15=""),"",F15-E15)</f>
        <v/>
      </c>
      <c r="H15" s="4" t="str">
        <f aca="false">IF(G15="","",IF(ABS(G15)&lt;=5,"Yes","No"))</f>
        <v/>
      </c>
      <c r="I15" s="16"/>
      <c r="J15" s="16"/>
      <c r="K15" s="16"/>
    </row>
    <row r="16" customFormat="false" ht="15" hidden="false" customHeight="false" outlineLevel="0" collapsed="false">
      <c r="A16" s="16"/>
      <c r="B16" s="16"/>
      <c r="C16" s="16"/>
      <c r="D16" s="16"/>
      <c r="E16" s="16"/>
      <c r="F16" s="16"/>
      <c r="G16" s="4" t="str">
        <f aca="false">IF(OR(E16="",F16=""),"",F16-E16)</f>
        <v/>
      </c>
      <c r="H16" s="4" t="str">
        <f aca="false">IF(G16="","",IF(ABS(G16)&lt;=5,"Yes","No"))</f>
        <v/>
      </c>
      <c r="I16" s="16"/>
      <c r="J16" s="16"/>
      <c r="K16" s="16"/>
    </row>
    <row r="17" customFormat="false" ht="15" hidden="false" customHeight="false" outlineLevel="0" collapsed="false">
      <c r="A17" s="16"/>
      <c r="B17" s="16"/>
      <c r="C17" s="16"/>
      <c r="D17" s="16"/>
      <c r="E17" s="16"/>
      <c r="F17" s="16"/>
      <c r="G17" s="4" t="str">
        <f aca="false">IF(OR(E17="",F17=""),"",F17-E17)</f>
        <v/>
      </c>
      <c r="H17" s="4" t="str">
        <f aca="false">IF(G17="","",IF(ABS(G17)&lt;=5,"Yes","No"))</f>
        <v/>
      </c>
      <c r="I17" s="16"/>
      <c r="J17" s="16"/>
      <c r="K17" s="16"/>
    </row>
    <row r="18" customFormat="false" ht="15" hidden="false" customHeight="false" outlineLevel="0" collapsed="false">
      <c r="A18" s="16"/>
      <c r="B18" s="16"/>
      <c r="C18" s="16"/>
      <c r="D18" s="16"/>
      <c r="E18" s="16"/>
      <c r="F18" s="16"/>
      <c r="G18" s="4" t="str">
        <f aca="false">IF(OR(E18="",F18=""),"",F18-E18)</f>
        <v/>
      </c>
      <c r="H18" s="4" t="str">
        <f aca="false">IF(G18="","",IF(ABS(G18)&lt;=5,"Yes","No"))</f>
        <v/>
      </c>
      <c r="I18" s="16"/>
      <c r="J18" s="16"/>
      <c r="K18" s="16"/>
    </row>
    <row r="19" customFormat="false" ht="15" hidden="false" customHeight="false" outlineLevel="0" collapsed="false">
      <c r="A19" s="16"/>
      <c r="B19" s="16"/>
      <c r="C19" s="16"/>
      <c r="D19" s="16"/>
      <c r="E19" s="16"/>
      <c r="F19" s="16"/>
      <c r="G19" s="4" t="str">
        <f aca="false">IF(OR(E19="",F19=""),"",F19-E19)</f>
        <v/>
      </c>
      <c r="H19" s="4" t="str">
        <f aca="false">IF(G19="","",IF(ABS(G19)&lt;=5,"Yes","No"))</f>
        <v/>
      </c>
      <c r="I19" s="16"/>
      <c r="J19" s="16"/>
      <c r="K19" s="16"/>
    </row>
    <row r="20" customFormat="false" ht="15" hidden="false" customHeight="false" outlineLevel="0" collapsed="false">
      <c r="A20" s="16"/>
      <c r="B20" s="16"/>
      <c r="C20" s="16"/>
      <c r="D20" s="16"/>
      <c r="E20" s="16"/>
      <c r="F20" s="16"/>
      <c r="G20" s="4" t="str">
        <f aca="false">IF(OR(E20="",F20=""),"",F20-E20)</f>
        <v/>
      </c>
      <c r="H20" s="4" t="str">
        <f aca="false">IF(G20="","",IF(ABS(G20)&lt;=5,"Yes","No"))</f>
        <v/>
      </c>
      <c r="I20" s="16"/>
      <c r="J20" s="16"/>
      <c r="K20" s="16"/>
    </row>
    <row r="21" customFormat="false" ht="15" hidden="false" customHeight="false" outlineLevel="0" collapsed="false">
      <c r="A21" s="16"/>
      <c r="B21" s="16"/>
      <c r="C21" s="16"/>
      <c r="D21" s="16"/>
      <c r="E21" s="16"/>
      <c r="F21" s="16"/>
      <c r="G21" s="4" t="str">
        <f aca="false">IF(OR(E21="",F21=""),"",F21-E21)</f>
        <v/>
      </c>
      <c r="H21" s="4" t="str">
        <f aca="false">IF(G21="","",IF(ABS(G21)&lt;=5,"Yes","No"))</f>
        <v/>
      </c>
      <c r="I21" s="16"/>
      <c r="J21" s="16"/>
      <c r="K21" s="16"/>
    </row>
    <row r="22" customFormat="false" ht="15" hidden="false" customHeight="false" outlineLevel="0" collapsed="false">
      <c r="A22" s="16"/>
      <c r="B22" s="16"/>
      <c r="C22" s="16"/>
      <c r="D22" s="16"/>
      <c r="E22" s="16"/>
      <c r="F22" s="16"/>
      <c r="G22" s="4" t="str">
        <f aca="false">IF(OR(E22="",F22=""),"",F22-E22)</f>
        <v/>
      </c>
      <c r="H22" s="4" t="str">
        <f aca="false">IF(G22="","",IF(ABS(G22)&lt;=5,"Yes","No"))</f>
        <v/>
      </c>
      <c r="I22" s="16"/>
      <c r="J22" s="16"/>
      <c r="K22" s="16"/>
    </row>
    <row r="23" customFormat="false" ht="15" hidden="false" customHeight="false" outlineLevel="0" collapsed="false">
      <c r="A23" s="16"/>
      <c r="B23" s="16"/>
      <c r="C23" s="16"/>
      <c r="D23" s="16"/>
      <c r="E23" s="16"/>
      <c r="F23" s="16"/>
      <c r="G23" s="4" t="str">
        <f aca="false">IF(OR(E23="",F23=""),"",F23-E23)</f>
        <v/>
      </c>
      <c r="H23" s="4" t="str">
        <f aca="false">IF(G23="","",IF(ABS(G23)&lt;=5,"Yes","No"))</f>
        <v/>
      </c>
      <c r="I23" s="16"/>
      <c r="J23" s="16"/>
      <c r="K23" s="16"/>
    </row>
    <row r="24" customFormat="false" ht="15" hidden="false" customHeight="false" outlineLevel="0" collapsed="false">
      <c r="A24" s="16"/>
      <c r="B24" s="16"/>
      <c r="C24" s="16"/>
      <c r="D24" s="16"/>
      <c r="E24" s="16"/>
      <c r="F24" s="16"/>
      <c r="G24" s="4" t="str">
        <f aca="false">IF(OR(E24="",F24=""),"",F24-E24)</f>
        <v/>
      </c>
      <c r="H24" s="4" t="str">
        <f aca="false">IF(G24="","",IF(ABS(G24)&lt;=5,"Yes","No"))</f>
        <v/>
      </c>
      <c r="I24" s="16"/>
      <c r="J24" s="16"/>
      <c r="K24" s="16"/>
    </row>
    <row r="25" customFormat="false" ht="15" hidden="false" customHeight="false" outlineLevel="0" collapsed="false">
      <c r="A25" s="16"/>
      <c r="B25" s="16"/>
      <c r="C25" s="16"/>
      <c r="D25" s="16"/>
      <c r="E25" s="16"/>
      <c r="F25" s="16"/>
      <c r="G25" s="4" t="str">
        <f aca="false">IF(OR(E25="",F25=""),"",F25-E25)</f>
        <v/>
      </c>
      <c r="H25" s="4" t="str">
        <f aca="false">IF(G25="","",IF(ABS(G25)&lt;=5,"Yes","No"))</f>
        <v/>
      </c>
      <c r="I25" s="16"/>
      <c r="J25" s="16"/>
      <c r="K25" s="16"/>
    </row>
    <row r="26" customFormat="false" ht="15" hidden="false" customHeight="false" outlineLevel="0" collapsed="false">
      <c r="A26" s="16"/>
      <c r="B26" s="16"/>
      <c r="C26" s="16"/>
      <c r="D26" s="16"/>
      <c r="E26" s="16"/>
      <c r="F26" s="16"/>
      <c r="G26" s="4" t="str">
        <f aca="false">IF(OR(E26="",F26=""),"",F26-E26)</f>
        <v/>
      </c>
      <c r="H26" s="4" t="str">
        <f aca="false">IF(G26="","",IF(ABS(G26)&lt;=5,"Yes","No"))</f>
        <v/>
      </c>
      <c r="I26" s="16"/>
      <c r="J26" s="16"/>
      <c r="K26" s="16"/>
    </row>
    <row r="27" customFormat="false" ht="15" hidden="false" customHeight="false" outlineLevel="0" collapsed="false">
      <c r="A27" s="16"/>
      <c r="B27" s="16"/>
      <c r="C27" s="16"/>
      <c r="D27" s="16"/>
      <c r="E27" s="16"/>
      <c r="F27" s="16"/>
      <c r="G27" s="4" t="str">
        <f aca="false">IF(OR(E27="",F27=""),"",F27-E27)</f>
        <v/>
      </c>
      <c r="H27" s="4" t="str">
        <f aca="false">IF(G27="","",IF(ABS(G27)&lt;=5,"Yes","No"))</f>
        <v/>
      </c>
      <c r="I27" s="16"/>
      <c r="J27" s="16"/>
      <c r="K27" s="16"/>
    </row>
    <row r="28" customFormat="false" ht="15" hidden="false" customHeight="false" outlineLevel="0" collapsed="false">
      <c r="A28" s="16"/>
      <c r="B28" s="16"/>
      <c r="C28" s="16"/>
      <c r="D28" s="16"/>
      <c r="E28" s="16"/>
      <c r="F28" s="16"/>
      <c r="G28" s="4" t="str">
        <f aca="false">IF(OR(E28="",F28=""),"",F28-E28)</f>
        <v/>
      </c>
      <c r="H28" s="4" t="str">
        <f aca="false">IF(G28="","",IF(ABS(G28)&lt;=5,"Yes","No"))</f>
        <v/>
      </c>
      <c r="I28" s="16"/>
      <c r="J28" s="16"/>
      <c r="K28" s="16"/>
    </row>
    <row r="29" customFormat="false" ht="15" hidden="false" customHeight="false" outlineLevel="0" collapsed="false">
      <c r="A29" s="16"/>
      <c r="B29" s="16"/>
      <c r="C29" s="16"/>
      <c r="D29" s="16"/>
      <c r="E29" s="16"/>
      <c r="F29" s="16"/>
      <c r="G29" s="4" t="str">
        <f aca="false">IF(OR(E29="",F29=""),"",F29-E29)</f>
        <v/>
      </c>
      <c r="H29" s="4" t="str">
        <f aca="false">IF(G29="","",IF(ABS(G29)&lt;=5,"Yes","No"))</f>
        <v/>
      </c>
      <c r="I29" s="16"/>
      <c r="J29" s="16"/>
      <c r="K29" s="16"/>
    </row>
    <row r="30" customFormat="false" ht="15" hidden="false" customHeight="false" outlineLevel="0" collapsed="false">
      <c r="A30" s="16"/>
      <c r="B30" s="16"/>
      <c r="C30" s="16"/>
      <c r="D30" s="16"/>
      <c r="E30" s="16"/>
      <c r="F30" s="16"/>
      <c r="G30" s="4" t="str">
        <f aca="false">IF(OR(E30="",F30=""),"",F30-E30)</f>
        <v/>
      </c>
      <c r="H30" s="4" t="str">
        <f aca="false">IF(G30="","",IF(ABS(G30)&lt;=5,"Yes","No"))</f>
        <v/>
      </c>
      <c r="I30" s="16"/>
      <c r="J30" s="16"/>
      <c r="K30" s="16"/>
    </row>
    <row r="31" customFormat="false" ht="15" hidden="false" customHeight="false" outlineLevel="0" collapsed="false">
      <c r="A31" s="16"/>
      <c r="B31" s="16"/>
      <c r="C31" s="16"/>
      <c r="D31" s="16"/>
      <c r="E31" s="16"/>
      <c r="F31" s="16"/>
      <c r="G31" s="4" t="str">
        <f aca="false">IF(OR(E31="",F31=""),"",F31-E31)</f>
        <v/>
      </c>
      <c r="H31" s="4" t="str">
        <f aca="false">IF(G31="","",IF(ABS(G31)&lt;=5,"Yes","No"))</f>
        <v/>
      </c>
      <c r="I31" s="16"/>
      <c r="J31" s="16"/>
      <c r="K31" s="16"/>
    </row>
    <row r="32" customFormat="false" ht="15" hidden="false" customHeight="false" outlineLevel="0" collapsed="false">
      <c r="A32" s="16"/>
      <c r="B32" s="16"/>
      <c r="C32" s="16"/>
      <c r="D32" s="16"/>
      <c r="E32" s="16"/>
      <c r="F32" s="16"/>
      <c r="G32" s="4" t="str">
        <f aca="false">IF(OR(E32="",F32=""),"",F32-E32)</f>
        <v/>
      </c>
      <c r="H32" s="4" t="str">
        <f aca="false">IF(G32="","",IF(ABS(G32)&lt;=5,"Yes","No"))</f>
        <v/>
      </c>
      <c r="I32" s="16"/>
      <c r="J32" s="16"/>
      <c r="K32" s="16"/>
    </row>
    <row r="33" customFormat="false" ht="15" hidden="false" customHeight="false" outlineLevel="0" collapsed="false">
      <c r="A33" s="16"/>
      <c r="B33" s="16"/>
      <c r="C33" s="16"/>
      <c r="D33" s="16"/>
      <c r="E33" s="16"/>
      <c r="F33" s="16"/>
      <c r="G33" s="4" t="str">
        <f aca="false">IF(OR(E33="",F33=""),"",F33-E33)</f>
        <v/>
      </c>
      <c r="H33" s="4" t="str">
        <f aca="false">IF(G33="","",IF(ABS(G33)&lt;=5,"Yes","No"))</f>
        <v/>
      </c>
      <c r="I33" s="16"/>
      <c r="J33" s="16"/>
      <c r="K33" s="16"/>
    </row>
    <row r="34" customFormat="false" ht="15" hidden="false" customHeight="false" outlineLevel="0" collapsed="false">
      <c r="A34" s="16"/>
      <c r="B34" s="16"/>
      <c r="C34" s="16"/>
      <c r="D34" s="16"/>
      <c r="E34" s="16"/>
      <c r="F34" s="16"/>
      <c r="G34" s="4" t="str">
        <f aca="false">IF(OR(E34="",F34=""),"",F34-E34)</f>
        <v/>
      </c>
      <c r="H34" s="4" t="str">
        <f aca="false">IF(G34="","",IF(ABS(G34)&lt;=5,"Yes","No"))</f>
        <v/>
      </c>
      <c r="I34" s="16"/>
      <c r="J34" s="16"/>
      <c r="K34" s="16"/>
    </row>
    <row r="35" customFormat="false" ht="15" hidden="false" customHeight="false" outlineLevel="0" collapsed="false">
      <c r="A35" s="16"/>
      <c r="B35" s="16"/>
      <c r="C35" s="16"/>
      <c r="D35" s="16"/>
      <c r="E35" s="16"/>
      <c r="F35" s="16"/>
      <c r="G35" s="4" t="str">
        <f aca="false">IF(OR(E35="",F35=""),"",F35-E35)</f>
        <v/>
      </c>
      <c r="H35" s="4" t="str">
        <f aca="false">IF(G35="","",IF(ABS(G35)&lt;=5,"Yes","No"))</f>
        <v/>
      </c>
      <c r="I35" s="16"/>
      <c r="J35" s="16"/>
      <c r="K35" s="16"/>
    </row>
    <row r="36" customFormat="false" ht="15" hidden="false" customHeight="false" outlineLevel="0" collapsed="false">
      <c r="A36" s="16"/>
      <c r="B36" s="16"/>
      <c r="C36" s="16"/>
      <c r="D36" s="16"/>
      <c r="E36" s="16"/>
      <c r="F36" s="16"/>
      <c r="G36" s="4" t="str">
        <f aca="false">IF(OR(E36="",F36=""),"",F36-E36)</f>
        <v/>
      </c>
      <c r="H36" s="4" t="str">
        <f aca="false">IF(G36="","",IF(ABS(G36)&lt;=5,"Yes","No"))</f>
        <v/>
      </c>
      <c r="I36" s="16"/>
      <c r="J36" s="16"/>
      <c r="K36" s="16"/>
    </row>
    <row r="37" customFormat="false" ht="15" hidden="false" customHeight="false" outlineLevel="0" collapsed="false">
      <c r="A37" s="16"/>
      <c r="B37" s="16"/>
      <c r="C37" s="16"/>
      <c r="D37" s="16"/>
      <c r="E37" s="16"/>
      <c r="F37" s="16"/>
      <c r="G37" s="4" t="str">
        <f aca="false">IF(OR(E37="",F37=""),"",F37-E37)</f>
        <v/>
      </c>
      <c r="H37" s="4" t="str">
        <f aca="false">IF(G37="","",IF(ABS(G37)&lt;=5,"Yes","No"))</f>
        <v/>
      </c>
      <c r="I37" s="16"/>
      <c r="J37" s="16"/>
      <c r="K37" s="16"/>
    </row>
    <row r="38" customFormat="false" ht="15" hidden="false" customHeight="false" outlineLevel="0" collapsed="false">
      <c r="A38" s="16"/>
      <c r="B38" s="16"/>
      <c r="C38" s="16"/>
      <c r="D38" s="16"/>
      <c r="E38" s="16"/>
      <c r="F38" s="16"/>
      <c r="G38" s="4" t="str">
        <f aca="false">IF(OR(E38="",F38=""),"",F38-E38)</f>
        <v/>
      </c>
      <c r="H38" s="4" t="str">
        <f aca="false">IF(G38="","",IF(ABS(G38)&lt;=5,"Yes","No"))</f>
        <v/>
      </c>
      <c r="I38" s="16"/>
      <c r="J38" s="16"/>
      <c r="K38" s="16"/>
    </row>
    <row r="39" customFormat="false" ht="15" hidden="false" customHeight="false" outlineLevel="0" collapsed="false">
      <c r="A39" s="16"/>
      <c r="B39" s="16"/>
      <c r="C39" s="16"/>
      <c r="D39" s="16"/>
      <c r="E39" s="16"/>
      <c r="F39" s="16"/>
      <c r="G39" s="4" t="str">
        <f aca="false">IF(OR(E39="",F39=""),"",F39-E39)</f>
        <v/>
      </c>
      <c r="H39" s="4" t="str">
        <f aca="false">IF(G39="","",IF(ABS(G39)&lt;=5,"Yes","No"))</f>
        <v/>
      </c>
      <c r="I39" s="16"/>
      <c r="J39" s="16"/>
      <c r="K39" s="16"/>
    </row>
    <row r="40" customFormat="false" ht="15" hidden="false" customHeight="false" outlineLevel="0" collapsed="false">
      <c r="A40" s="16"/>
      <c r="B40" s="16"/>
      <c r="C40" s="16"/>
      <c r="D40" s="16"/>
      <c r="E40" s="16"/>
      <c r="F40" s="16"/>
      <c r="G40" s="4" t="str">
        <f aca="false">IF(OR(E40="",F40=""),"",F40-E40)</f>
        <v/>
      </c>
      <c r="H40" s="4" t="str">
        <f aca="false">IF(G40="","",IF(ABS(G40)&lt;=5,"Yes","No"))</f>
        <v/>
      </c>
      <c r="I40" s="16"/>
      <c r="J40" s="16"/>
      <c r="K40" s="16"/>
    </row>
    <row r="41" customFormat="false" ht="15" hidden="false" customHeight="false" outlineLevel="0" collapsed="false">
      <c r="A41" s="16"/>
      <c r="B41" s="16"/>
      <c r="C41" s="16"/>
      <c r="D41" s="16"/>
      <c r="E41" s="16"/>
      <c r="F41" s="16"/>
      <c r="G41" s="4" t="str">
        <f aca="false">IF(OR(E41="",F41=""),"",F41-E41)</f>
        <v/>
      </c>
      <c r="H41" s="4" t="str">
        <f aca="false">IF(G41="","",IF(ABS(G41)&lt;=5,"Yes","No"))</f>
        <v/>
      </c>
      <c r="I41" s="16"/>
      <c r="J41" s="16"/>
      <c r="K41" s="16"/>
    </row>
    <row r="42" customFormat="false" ht="15" hidden="false" customHeight="false" outlineLevel="0" collapsed="false">
      <c r="A42" s="16"/>
      <c r="B42" s="16"/>
      <c r="C42" s="16"/>
      <c r="D42" s="16"/>
      <c r="E42" s="16"/>
      <c r="F42" s="16"/>
      <c r="G42" s="4" t="str">
        <f aca="false">IF(OR(E42="",F42=""),"",F42-E42)</f>
        <v/>
      </c>
      <c r="H42" s="4" t="str">
        <f aca="false">IF(G42="","",IF(ABS(G42)&lt;=5,"Yes","No"))</f>
        <v/>
      </c>
      <c r="I42" s="16"/>
      <c r="J42" s="16"/>
      <c r="K42" s="16"/>
    </row>
    <row r="43" customFormat="false" ht="15" hidden="false" customHeight="false" outlineLevel="0" collapsed="false">
      <c r="A43" s="16"/>
      <c r="B43" s="16"/>
      <c r="C43" s="16"/>
      <c r="D43" s="16"/>
      <c r="E43" s="16"/>
      <c r="F43" s="16"/>
      <c r="G43" s="4" t="str">
        <f aca="false">IF(OR(E43="",F43=""),"",F43-E43)</f>
        <v/>
      </c>
      <c r="H43" s="4" t="str">
        <f aca="false">IF(G43="","",IF(ABS(G43)&lt;=5,"Yes","No"))</f>
        <v/>
      </c>
      <c r="I43" s="16"/>
      <c r="J43" s="16"/>
      <c r="K43" s="16"/>
    </row>
    <row r="44" customFormat="false" ht="15" hidden="false" customHeight="false" outlineLevel="0" collapsed="false">
      <c r="A44" s="16"/>
      <c r="B44" s="16"/>
      <c r="C44" s="16"/>
      <c r="D44" s="16"/>
      <c r="E44" s="16"/>
      <c r="F44" s="16"/>
      <c r="G44" s="4" t="str">
        <f aca="false">IF(OR(E44="",F44=""),"",F44-E44)</f>
        <v/>
      </c>
      <c r="H44" s="4" t="str">
        <f aca="false">IF(G44="","",IF(ABS(G44)&lt;=5,"Yes","No"))</f>
        <v/>
      </c>
      <c r="I44" s="16"/>
      <c r="J44" s="16"/>
      <c r="K44" s="16"/>
    </row>
    <row r="45" customFormat="false" ht="15" hidden="false" customHeight="false" outlineLevel="0" collapsed="false">
      <c r="A45" s="16"/>
      <c r="B45" s="16"/>
      <c r="C45" s="16"/>
      <c r="D45" s="16"/>
      <c r="E45" s="16"/>
      <c r="F45" s="16"/>
      <c r="G45" s="4" t="str">
        <f aca="false">IF(OR(E45="",F45=""),"",F45-E45)</f>
        <v/>
      </c>
      <c r="H45" s="4" t="str">
        <f aca="false">IF(G45="","",IF(ABS(G45)&lt;=5,"Yes","No"))</f>
        <v/>
      </c>
      <c r="I45" s="16"/>
      <c r="J45" s="16"/>
      <c r="K45" s="16"/>
    </row>
    <row r="46" customFormat="false" ht="15" hidden="false" customHeight="false" outlineLevel="0" collapsed="false">
      <c r="A46" s="16"/>
      <c r="B46" s="16"/>
      <c r="C46" s="16"/>
      <c r="D46" s="16"/>
      <c r="E46" s="16"/>
      <c r="F46" s="16"/>
      <c r="G46" s="4" t="str">
        <f aca="false">IF(OR(E46="",F46=""),"",F46-E46)</f>
        <v/>
      </c>
      <c r="H46" s="4" t="str">
        <f aca="false">IF(G46="","",IF(ABS(G46)&lt;=5,"Yes","No"))</f>
        <v/>
      </c>
      <c r="I46" s="16"/>
      <c r="J46" s="16"/>
      <c r="K46" s="16"/>
    </row>
    <row r="47" customFormat="false" ht="15" hidden="false" customHeight="false" outlineLevel="0" collapsed="false">
      <c r="A47" s="16"/>
      <c r="B47" s="16"/>
      <c r="C47" s="16"/>
      <c r="D47" s="16"/>
      <c r="E47" s="16"/>
      <c r="F47" s="16"/>
      <c r="G47" s="4" t="str">
        <f aca="false">IF(OR(E47="",F47=""),"",F47-E47)</f>
        <v/>
      </c>
      <c r="H47" s="4" t="str">
        <f aca="false">IF(G47="","",IF(ABS(G47)&lt;=5,"Yes","No"))</f>
        <v/>
      </c>
      <c r="I47" s="16"/>
      <c r="J47" s="16"/>
      <c r="K47" s="16"/>
    </row>
    <row r="48" customFormat="false" ht="15" hidden="false" customHeight="false" outlineLevel="0" collapsed="false">
      <c r="A48" s="16"/>
      <c r="B48" s="16"/>
      <c r="C48" s="16"/>
      <c r="D48" s="16"/>
      <c r="E48" s="16"/>
      <c r="F48" s="16"/>
      <c r="G48" s="4" t="str">
        <f aca="false">IF(OR(E48="",F48=""),"",F48-E48)</f>
        <v/>
      </c>
      <c r="H48" s="4" t="str">
        <f aca="false">IF(G48="","",IF(ABS(G48)&lt;=5,"Yes","No"))</f>
        <v/>
      </c>
      <c r="I48" s="16"/>
      <c r="J48" s="16"/>
      <c r="K48" s="16"/>
    </row>
    <row r="49" customFormat="false" ht="15" hidden="false" customHeight="false" outlineLevel="0" collapsed="false">
      <c r="A49" s="16"/>
      <c r="B49" s="16"/>
      <c r="C49" s="16"/>
      <c r="D49" s="16"/>
      <c r="E49" s="16"/>
      <c r="F49" s="16"/>
      <c r="G49" s="4" t="str">
        <f aca="false">IF(OR(E49="",F49=""),"",F49-E49)</f>
        <v/>
      </c>
      <c r="H49" s="4" t="str">
        <f aca="false">IF(G49="","",IF(ABS(G49)&lt;=5,"Yes","No"))</f>
        <v/>
      </c>
      <c r="I49" s="16"/>
      <c r="J49" s="16"/>
      <c r="K49" s="16"/>
    </row>
    <row r="50" customFormat="false" ht="15" hidden="false" customHeight="false" outlineLevel="0" collapsed="false">
      <c r="A50" s="16"/>
      <c r="B50" s="16"/>
      <c r="C50" s="16"/>
      <c r="D50" s="16"/>
      <c r="E50" s="16"/>
      <c r="F50" s="16"/>
      <c r="G50" s="4" t="str">
        <f aca="false">IF(OR(E50="",F50=""),"",F50-E50)</f>
        <v/>
      </c>
      <c r="H50" s="4" t="str">
        <f aca="false">IF(G50="","",IF(ABS(G50)&lt;=5,"Yes","No"))</f>
        <v/>
      </c>
      <c r="I50" s="16"/>
      <c r="J50" s="16"/>
      <c r="K50" s="16"/>
    </row>
    <row r="51" customFormat="false" ht="15" hidden="false" customHeight="false" outlineLevel="0" collapsed="false">
      <c r="A51" s="16"/>
      <c r="B51" s="16"/>
      <c r="C51" s="16"/>
      <c r="D51" s="16"/>
      <c r="E51" s="16"/>
      <c r="F51" s="16"/>
      <c r="G51" s="4" t="str">
        <f aca="false">IF(OR(E51="",F51=""),"",F51-E51)</f>
        <v/>
      </c>
      <c r="H51" s="4" t="str">
        <f aca="false">IF(G51="","",IF(ABS(G51)&lt;=5,"Yes","No"))</f>
        <v/>
      </c>
      <c r="I51" s="16"/>
      <c r="J51" s="16"/>
      <c r="K51" s="16"/>
    </row>
    <row r="52" customFormat="false" ht="15" hidden="false" customHeight="false" outlineLevel="0" collapsed="false">
      <c r="A52" s="16"/>
      <c r="B52" s="16"/>
      <c r="C52" s="16"/>
      <c r="D52" s="16"/>
      <c r="E52" s="16"/>
      <c r="F52" s="16"/>
      <c r="G52" s="4" t="str">
        <f aca="false">IF(OR(E52="",F52=""),"",F52-E52)</f>
        <v/>
      </c>
      <c r="H52" s="4" t="str">
        <f aca="false">IF(G52="","",IF(ABS(G52)&lt;=5,"Yes","No"))</f>
        <v/>
      </c>
      <c r="I52" s="16"/>
      <c r="J52" s="16"/>
      <c r="K52" s="16"/>
    </row>
    <row r="53" customFormat="false" ht="15" hidden="false" customHeight="false" outlineLevel="0" collapsed="false">
      <c r="A53" s="16"/>
      <c r="B53" s="16"/>
      <c r="C53" s="16"/>
      <c r="D53" s="16"/>
      <c r="E53" s="16"/>
      <c r="F53" s="16"/>
      <c r="G53" s="4" t="str">
        <f aca="false">IF(OR(E53="",F53=""),"",F53-E53)</f>
        <v/>
      </c>
      <c r="H53" s="4" t="str">
        <f aca="false">IF(G53="","",IF(ABS(G53)&lt;=5,"Yes","No"))</f>
        <v/>
      </c>
      <c r="I53" s="16"/>
      <c r="J53" s="16"/>
      <c r="K53" s="16"/>
    </row>
    <row r="54" customFormat="false" ht="15" hidden="false" customHeight="false" outlineLevel="0" collapsed="false">
      <c r="A54" s="16"/>
      <c r="B54" s="16"/>
      <c r="C54" s="16"/>
      <c r="D54" s="16"/>
      <c r="E54" s="16"/>
      <c r="F54" s="16"/>
      <c r="G54" s="4" t="str">
        <f aca="false">IF(OR(E54="",F54=""),"",F54-E54)</f>
        <v/>
      </c>
      <c r="H54" s="4" t="str">
        <f aca="false">IF(G54="","",IF(ABS(G54)&lt;=5,"Yes","No"))</f>
        <v/>
      </c>
      <c r="I54" s="16"/>
      <c r="J54" s="16"/>
      <c r="K54" s="16"/>
    </row>
    <row r="55" customFormat="false" ht="15" hidden="false" customHeight="false" outlineLevel="0" collapsed="false">
      <c r="A55" s="16"/>
      <c r="B55" s="16"/>
      <c r="C55" s="16"/>
      <c r="D55" s="16"/>
      <c r="E55" s="16"/>
      <c r="F55" s="16"/>
      <c r="G55" s="4" t="str">
        <f aca="false">IF(OR(E55="",F55=""),"",F55-E55)</f>
        <v/>
      </c>
      <c r="H55" s="4" t="str">
        <f aca="false">IF(G55="","",IF(ABS(G55)&lt;=5,"Yes","No"))</f>
        <v/>
      </c>
      <c r="I55" s="16"/>
      <c r="J55" s="16"/>
      <c r="K55" s="16"/>
    </row>
    <row r="56" customFormat="false" ht="15" hidden="false" customHeight="false" outlineLevel="0" collapsed="false">
      <c r="A56" s="16"/>
      <c r="B56" s="16"/>
      <c r="C56" s="16"/>
      <c r="D56" s="16"/>
      <c r="E56" s="16"/>
      <c r="F56" s="16"/>
      <c r="G56" s="4" t="str">
        <f aca="false">IF(OR(E56="",F56=""),"",F56-E56)</f>
        <v/>
      </c>
      <c r="H56" s="4" t="str">
        <f aca="false">IF(G56="","",IF(ABS(G56)&lt;=5,"Yes","No"))</f>
        <v/>
      </c>
      <c r="I56" s="16"/>
      <c r="J56" s="16"/>
      <c r="K56" s="16"/>
    </row>
    <row r="57" customFormat="false" ht="15" hidden="false" customHeight="false" outlineLevel="0" collapsed="false">
      <c r="A57" s="16"/>
      <c r="B57" s="16"/>
      <c r="C57" s="16"/>
      <c r="D57" s="16"/>
      <c r="E57" s="16"/>
      <c r="F57" s="16"/>
      <c r="G57" s="4" t="str">
        <f aca="false">IF(OR(E57="",F57=""),"",F57-E57)</f>
        <v/>
      </c>
      <c r="H57" s="4" t="str">
        <f aca="false">IF(G57="","",IF(ABS(G57)&lt;=5,"Yes","No"))</f>
        <v/>
      </c>
      <c r="I57" s="16"/>
      <c r="J57" s="16"/>
      <c r="K57" s="16"/>
    </row>
    <row r="58" customFormat="false" ht="15" hidden="false" customHeight="false" outlineLevel="0" collapsed="false">
      <c r="A58" s="16"/>
      <c r="B58" s="16"/>
      <c r="C58" s="16"/>
      <c r="D58" s="16"/>
      <c r="E58" s="16"/>
      <c r="F58" s="16"/>
      <c r="G58" s="4" t="str">
        <f aca="false">IF(OR(E58="",F58=""),"",F58-E58)</f>
        <v/>
      </c>
      <c r="H58" s="4" t="str">
        <f aca="false">IF(G58="","",IF(ABS(G58)&lt;=5,"Yes","No"))</f>
        <v/>
      </c>
      <c r="I58" s="16"/>
      <c r="J58" s="16"/>
      <c r="K58" s="16"/>
    </row>
    <row r="59" customFormat="false" ht="15" hidden="false" customHeight="false" outlineLevel="0" collapsed="false">
      <c r="A59" s="16"/>
      <c r="B59" s="16"/>
      <c r="C59" s="16"/>
      <c r="D59" s="16"/>
      <c r="E59" s="16"/>
      <c r="F59" s="16"/>
      <c r="G59" s="4" t="str">
        <f aca="false">IF(OR(E59="",F59=""),"",F59-E59)</f>
        <v/>
      </c>
      <c r="H59" s="4" t="str">
        <f aca="false">IF(G59="","",IF(ABS(G59)&lt;=5,"Yes","No"))</f>
        <v/>
      </c>
      <c r="I59" s="16"/>
      <c r="J59" s="16"/>
      <c r="K59" s="16"/>
    </row>
    <row r="60" customFormat="false" ht="15" hidden="false" customHeight="false" outlineLevel="0" collapsed="false">
      <c r="A60" s="16"/>
      <c r="B60" s="16"/>
      <c r="C60" s="16"/>
      <c r="D60" s="16"/>
      <c r="E60" s="16"/>
      <c r="F60" s="16"/>
      <c r="G60" s="4" t="str">
        <f aca="false">IF(OR(E60="",F60=""),"",F60-E60)</f>
        <v/>
      </c>
      <c r="H60" s="4" t="str">
        <f aca="false">IF(G60="","",IF(ABS(G60)&lt;=5,"Yes","No"))</f>
        <v/>
      </c>
      <c r="I60" s="16"/>
      <c r="J60" s="16"/>
      <c r="K60" s="16"/>
    </row>
    <row r="61" customFormat="false" ht="15" hidden="false" customHeight="false" outlineLevel="0" collapsed="false">
      <c r="A61" s="16"/>
      <c r="B61" s="16"/>
      <c r="C61" s="16"/>
      <c r="D61" s="16"/>
      <c r="E61" s="16"/>
      <c r="F61" s="16"/>
      <c r="G61" s="4" t="str">
        <f aca="false">IF(OR(E61="",F61=""),"",F61-E61)</f>
        <v/>
      </c>
      <c r="H61" s="4" t="str">
        <f aca="false">IF(G61="","",IF(ABS(G61)&lt;=5,"Yes","No"))</f>
        <v/>
      </c>
      <c r="I61" s="16"/>
      <c r="J61" s="16"/>
      <c r="K61" s="16"/>
    </row>
    <row r="62" customFormat="false" ht="15" hidden="false" customHeight="false" outlineLevel="0" collapsed="false">
      <c r="A62" s="16"/>
      <c r="B62" s="16"/>
      <c r="C62" s="16"/>
      <c r="D62" s="16"/>
      <c r="E62" s="16"/>
      <c r="F62" s="16"/>
      <c r="G62" s="4" t="str">
        <f aca="false">IF(OR(E62="",F62=""),"",F62-E62)</f>
        <v/>
      </c>
      <c r="H62" s="4" t="str">
        <f aca="false">IF(G62="","",IF(ABS(G62)&lt;=5,"Yes","No"))</f>
        <v/>
      </c>
      <c r="I62" s="16"/>
      <c r="J62" s="16"/>
      <c r="K62" s="16"/>
    </row>
    <row r="63" customFormat="false" ht="15" hidden="false" customHeight="false" outlineLevel="0" collapsed="false">
      <c r="A63" s="16"/>
      <c r="B63" s="16"/>
      <c r="C63" s="16"/>
      <c r="D63" s="16"/>
      <c r="E63" s="16"/>
      <c r="F63" s="16"/>
      <c r="G63" s="4" t="str">
        <f aca="false">IF(OR(E63="",F63=""),"",F63-E63)</f>
        <v/>
      </c>
      <c r="H63" s="4" t="str">
        <f aca="false">IF(G63="","",IF(ABS(G63)&lt;=5,"Yes","No"))</f>
        <v/>
      </c>
      <c r="I63" s="16"/>
      <c r="J63" s="16"/>
      <c r="K63" s="16"/>
    </row>
    <row r="64" customFormat="false" ht="15" hidden="false" customHeight="false" outlineLevel="0" collapsed="false">
      <c r="A64" s="16"/>
      <c r="B64" s="16"/>
      <c r="C64" s="16"/>
      <c r="D64" s="16"/>
      <c r="E64" s="16"/>
      <c r="F64" s="16"/>
      <c r="G64" s="4" t="str">
        <f aca="false">IF(OR(E64="",F64=""),"",F64-E64)</f>
        <v/>
      </c>
      <c r="H64" s="4" t="str">
        <f aca="false">IF(G64="","",IF(ABS(G64)&lt;=5,"Yes","No"))</f>
        <v/>
      </c>
      <c r="I64" s="16"/>
      <c r="J64" s="16"/>
      <c r="K64" s="16"/>
    </row>
    <row r="65" customFormat="false" ht="15" hidden="false" customHeight="false" outlineLevel="0" collapsed="false">
      <c r="A65" s="16"/>
      <c r="B65" s="16"/>
      <c r="C65" s="16"/>
      <c r="D65" s="16"/>
      <c r="E65" s="16"/>
      <c r="F65" s="16"/>
      <c r="G65" s="4" t="str">
        <f aca="false">IF(OR(E65="",F65=""),"",F65-E65)</f>
        <v/>
      </c>
      <c r="H65" s="4" t="str">
        <f aca="false">IF(G65="","",IF(ABS(G65)&lt;=5,"Yes","No"))</f>
        <v/>
      </c>
      <c r="I65" s="16"/>
      <c r="J65" s="16"/>
      <c r="K65" s="16"/>
    </row>
    <row r="66" customFormat="false" ht="15" hidden="false" customHeight="false" outlineLevel="0" collapsed="false">
      <c r="A66" s="16"/>
      <c r="B66" s="16"/>
      <c r="C66" s="16"/>
      <c r="D66" s="16"/>
      <c r="E66" s="16"/>
      <c r="F66" s="16"/>
      <c r="G66" s="4" t="str">
        <f aca="false">IF(OR(E66="",F66=""),"",F66-E66)</f>
        <v/>
      </c>
      <c r="H66" s="4" t="str">
        <f aca="false">IF(G66="","",IF(ABS(G66)&lt;=5,"Yes","No"))</f>
        <v/>
      </c>
      <c r="I66" s="16"/>
      <c r="J66" s="16"/>
      <c r="K66" s="16"/>
    </row>
    <row r="67" customFormat="false" ht="15" hidden="false" customHeight="false" outlineLevel="0" collapsed="false">
      <c r="A67" s="16"/>
      <c r="B67" s="16"/>
      <c r="C67" s="16"/>
      <c r="D67" s="16"/>
      <c r="E67" s="16"/>
      <c r="F67" s="16"/>
      <c r="G67" s="4" t="str">
        <f aca="false">IF(OR(E67="",F67=""),"",F67-E67)</f>
        <v/>
      </c>
      <c r="H67" s="4" t="str">
        <f aca="false">IF(G67="","",IF(ABS(G67)&lt;=5,"Yes","No"))</f>
        <v/>
      </c>
      <c r="I67" s="16"/>
      <c r="J67" s="16"/>
      <c r="K67" s="16"/>
    </row>
    <row r="68" customFormat="false" ht="15" hidden="false" customHeight="false" outlineLevel="0" collapsed="false">
      <c r="A68" s="16"/>
      <c r="B68" s="16"/>
      <c r="C68" s="16"/>
      <c r="D68" s="16"/>
      <c r="E68" s="16"/>
      <c r="F68" s="16"/>
      <c r="G68" s="4" t="str">
        <f aca="false">IF(OR(E68="",F68=""),"",F68-E68)</f>
        <v/>
      </c>
      <c r="H68" s="4" t="str">
        <f aca="false">IF(G68="","",IF(ABS(G68)&lt;=5,"Yes","No"))</f>
        <v/>
      </c>
      <c r="I68" s="16"/>
      <c r="J68" s="16"/>
      <c r="K68" s="16"/>
    </row>
    <row r="69" customFormat="false" ht="15" hidden="false" customHeight="false" outlineLevel="0" collapsed="false">
      <c r="A69" s="16"/>
      <c r="B69" s="16"/>
      <c r="C69" s="16"/>
      <c r="D69" s="16"/>
      <c r="E69" s="16"/>
      <c r="F69" s="16"/>
      <c r="G69" s="4" t="str">
        <f aca="false">IF(OR(E69="",F69=""),"",F69-E69)</f>
        <v/>
      </c>
      <c r="H69" s="4" t="str">
        <f aca="false">IF(G69="","",IF(ABS(G69)&lt;=5,"Yes","No"))</f>
        <v/>
      </c>
      <c r="I69" s="16"/>
      <c r="J69" s="16"/>
      <c r="K69" s="16"/>
    </row>
    <row r="70" customFormat="false" ht="15" hidden="false" customHeight="false" outlineLevel="0" collapsed="false">
      <c r="A70" s="16"/>
      <c r="B70" s="16"/>
      <c r="C70" s="16"/>
      <c r="D70" s="16"/>
      <c r="E70" s="16"/>
      <c r="F70" s="16"/>
      <c r="G70" s="4" t="str">
        <f aca="false">IF(OR(E70="",F70=""),"",F70-E70)</f>
        <v/>
      </c>
      <c r="H70" s="4" t="str">
        <f aca="false">IF(G70="","",IF(ABS(G70)&lt;=5,"Yes","No"))</f>
        <v/>
      </c>
      <c r="I70" s="16"/>
      <c r="J70" s="16"/>
      <c r="K70" s="16"/>
    </row>
    <row r="71" customFormat="false" ht="15" hidden="false" customHeight="false" outlineLevel="0" collapsed="false">
      <c r="A71" s="16"/>
      <c r="B71" s="16"/>
      <c r="C71" s="16"/>
      <c r="D71" s="16"/>
      <c r="E71" s="16"/>
      <c r="F71" s="16"/>
      <c r="G71" s="4" t="str">
        <f aca="false">IF(OR(E71="",F71=""),"",F71-E71)</f>
        <v/>
      </c>
      <c r="H71" s="4" t="str">
        <f aca="false">IF(G71="","",IF(ABS(G71)&lt;=5,"Yes","No"))</f>
        <v/>
      </c>
      <c r="I71" s="16"/>
      <c r="J71" s="16"/>
      <c r="K71" s="16"/>
    </row>
    <row r="72" customFormat="false" ht="15" hidden="false" customHeight="false" outlineLevel="0" collapsed="false">
      <c r="A72" s="16"/>
      <c r="B72" s="16"/>
      <c r="C72" s="16"/>
      <c r="D72" s="16"/>
      <c r="E72" s="16"/>
      <c r="F72" s="16"/>
      <c r="G72" s="4" t="str">
        <f aca="false">IF(OR(E72="",F72=""),"",F72-E72)</f>
        <v/>
      </c>
      <c r="H72" s="4" t="str">
        <f aca="false">IF(G72="","",IF(ABS(G72)&lt;=5,"Yes","No"))</f>
        <v/>
      </c>
      <c r="I72" s="16"/>
      <c r="J72" s="16"/>
      <c r="K72" s="16"/>
    </row>
    <row r="73" customFormat="false" ht="15" hidden="false" customHeight="false" outlineLevel="0" collapsed="false">
      <c r="A73" s="16"/>
      <c r="B73" s="16"/>
      <c r="C73" s="16"/>
      <c r="D73" s="16"/>
      <c r="E73" s="16"/>
      <c r="F73" s="16"/>
      <c r="G73" s="4" t="str">
        <f aca="false">IF(OR(E73="",F73=""),"",F73-E73)</f>
        <v/>
      </c>
      <c r="H73" s="4" t="str">
        <f aca="false">IF(G73="","",IF(ABS(G73)&lt;=5,"Yes","No"))</f>
        <v/>
      </c>
      <c r="I73" s="16"/>
      <c r="J73" s="16"/>
      <c r="K73" s="16"/>
    </row>
    <row r="74" customFormat="false" ht="15" hidden="false" customHeight="false" outlineLevel="0" collapsed="false">
      <c r="A74" s="16"/>
      <c r="B74" s="16"/>
      <c r="C74" s="16"/>
      <c r="D74" s="16"/>
      <c r="E74" s="16"/>
      <c r="F74" s="16"/>
      <c r="G74" s="4" t="str">
        <f aca="false">IF(OR(E74="",F74=""),"",F74-E74)</f>
        <v/>
      </c>
      <c r="H74" s="4" t="str">
        <f aca="false">IF(G74="","",IF(ABS(G74)&lt;=5,"Yes","No"))</f>
        <v/>
      </c>
      <c r="I74" s="16"/>
      <c r="J74" s="16"/>
      <c r="K74" s="16"/>
    </row>
    <row r="75" customFormat="false" ht="15" hidden="false" customHeight="false" outlineLevel="0" collapsed="false">
      <c r="A75" s="16"/>
      <c r="B75" s="16"/>
      <c r="C75" s="16"/>
      <c r="D75" s="16"/>
      <c r="E75" s="16"/>
      <c r="F75" s="16"/>
      <c r="G75" s="4" t="str">
        <f aca="false">IF(OR(E75="",F75=""),"",F75-E75)</f>
        <v/>
      </c>
      <c r="H75" s="4" t="str">
        <f aca="false">IF(G75="","",IF(ABS(G75)&lt;=5,"Yes","No"))</f>
        <v/>
      </c>
      <c r="I75" s="16"/>
      <c r="J75" s="16"/>
      <c r="K75" s="16"/>
    </row>
    <row r="76" customFormat="false" ht="15" hidden="false" customHeight="false" outlineLevel="0" collapsed="false">
      <c r="A76" s="16"/>
      <c r="B76" s="16"/>
      <c r="C76" s="16"/>
      <c r="D76" s="16"/>
      <c r="E76" s="16"/>
      <c r="F76" s="16"/>
      <c r="G76" s="4" t="str">
        <f aca="false">IF(OR(E76="",F76=""),"",F76-E76)</f>
        <v/>
      </c>
      <c r="H76" s="4" t="str">
        <f aca="false">IF(G76="","",IF(ABS(G76)&lt;=5,"Yes","No"))</f>
        <v/>
      </c>
      <c r="I76" s="16"/>
      <c r="J76" s="16"/>
      <c r="K76" s="16"/>
    </row>
    <row r="77" customFormat="false" ht="15" hidden="false" customHeight="false" outlineLevel="0" collapsed="false">
      <c r="A77" s="16"/>
      <c r="B77" s="16"/>
      <c r="C77" s="16"/>
      <c r="D77" s="16"/>
      <c r="E77" s="16"/>
      <c r="F77" s="16"/>
      <c r="G77" s="4" t="str">
        <f aca="false">IF(OR(E77="",F77=""),"",F77-E77)</f>
        <v/>
      </c>
      <c r="H77" s="4" t="str">
        <f aca="false">IF(G77="","",IF(ABS(G77)&lt;=5,"Yes","No"))</f>
        <v/>
      </c>
      <c r="I77" s="16"/>
      <c r="J77" s="16"/>
      <c r="K77" s="16"/>
    </row>
    <row r="78" customFormat="false" ht="15" hidden="false" customHeight="false" outlineLevel="0" collapsed="false">
      <c r="A78" s="16"/>
      <c r="B78" s="16"/>
      <c r="C78" s="16"/>
      <c r="D78" s="16"/>
      <c r="E78" s="16"/>
      <c r="F78" s="16"/>
      <c r="G78" s="4" t="str">
        <f aca="false">IF(OR(E78="",F78=""),"",F78-E78)</f>
        <v/>
      </c>
      <c r="H78" s="4" t="str">
        <f aca="false">IF(G78="","",IF(ABS(G78)&lt;=5,"Yes","No"))</f>
        <v/>
      </c>
      <c r="I78" s="16"/>
      <c r="J78" s="16"/>
      <c r="K78" s="16"/>
    </row>
    <row r="79" customFormat="false" ht="15" hidden="false" customHeight="false" outlineLevel="0" collapsed="false">
      <c r="A79" s="16"/>
      <c r="B79" s="16"/>
      <c r="C79" s="16"/>
      <c r="D79" s="16"/>
      <c r="E79" s="16"/>
      <c r="F79" s="16"/>
      <c r="G79" s="4" t="str">
        <f aca="false">IF(OR(E79="",F79=""),"",F79-E79)</f>
        <v/>
      </c>
      <c r="H79" s="4" t="str">
        <f aca="false">IF(G79="","",IF(ABS(G79)&lt;=5,"Yes","No"))</f>
        <v/>
      </c>
      <c r="I79" s="16"/>
      <c r="J79" s="16"/>
      <c r="K79" s="16"/>
    </row>
    <row r="80" customFormat="false" ht="15" hidden="false" customHeight="false" outlineLevel="0" collapsed="false">
      <c r="A80" s="16"/>
      <c r="B80" s="16"/>
      <c r="C80" s="16"/>
      <c r="D80" s="16"/>
      <c r="E80" s="16"/>
      <c r="F80" s="16"/>
      <c r="G80" s="4" t="str">
        <f aca="false">IF(OR(E80="",F80=""),"",F80-E80)</f>
        <v/>
      </c>
      <c r="H80" s="4" t="str">
        <f aca="false">IF(G80="","",IF(ABS(G80)&lt;=5,"Yes","No"))</f>
        <v/>
      </c>
      <c r="I80" s="16"/>
      <c r="J80" s="16"/>
      <c r="K80" s="16"/>
    </row>
    <row r="81" customFormat="false" ht="15" hidden="false" customHeight="false" outlineLevel="0" collapsed="false">
      <c r="A81" s="16"/>
      <c r="B81" s="16"/>
      <c r="C81" s="16"/>
      <c r="D81" s="16"/>
      <c r="E81" s="16"/>
      <c r="F81" s="16"/>
      <c r="G81" s="4" t="str">
        <f aca="false">IF(OR(E81="",F81=""),"",F81-E81)</f>
        <v/>
      </c>
      <c r="H81" s="4" t="str">
        <f aca="false">IF(G81="","",IF(ABS(G81)&lt;=5,"Yes","No"))</f>
        <v/>
      </c>
      <c r="I81" s="16"/>
      <c r="J81" s="16"/>
      <c r="K81" s="16"/>
    </row>
    <row r="82" customFormat="false" ht="15" hidden="false" customHeight="false" outlineLevel="0" collapsed="false">
      <c r="A82" s="16"/>
      <c r="B82" s="16"/>
      <c r="C82" s="16"/>
      <c r="D82" s="16"/>
      <c r="E82" s="16"/>
      <c r="F82" s="16"/>
      <c r="G82" s="4" t="str">
        <f aca="false">IF(OR(E82="",F82=""),"",F82-E82)</f>
        <v/>
      </c>
      <c r="H82" s="4" t="str">
        <f aca="false">IF(G82="","",IF(ABS(G82)&lt;=5,"Yes","No"))</f>
        <v/>
      </c>
      <c r="I82" s="16"/>
      <c r="J82" s="16"/>
      <c r="K82" s="16"/>
    </row>
    <row r="83" customFormat="false" ht="15" hidden="false" customHeight="false" outlineLevel="0" collapsed="false">
      <c r="A83" s="16"/>
      <c r="B83" s="16"/>
      <c r="C83" s="16"/>
      <c r="D83" s="16"/>
      <c r="E83" s="16"/>
      <c r="F83" s="16"/>
      <c r="G83" s="4" t="str">
        <f aca="false">IF(OR(E83="",F83=""),"",F83-E83)</f>
        <v/>
      </c>
      <c r="H83" s="4" t="str">
        <f aca="false">IF(G83="","",IF(ABS(G83)&lt;=5,"Yes","No"))</f>
        <v/>
      </c>
      <c r="I83" s="16"/>
      <c r="J83" s="16"/>
      <c r="K83" s="16"/>
    </row>
    <row r="84" customFormat="false" ht="15" hidden="false" customHeight="false" outlineLevel="0" collapsed="false">
      <c r="A84" s="16"/>
      <c r="B84" s="16"/>
      <c r="C84" s="16"/>
      <c r="D84" s="16"/>
      <c r="E84" s="16"/>
      <c r="F84" s="16"/>
      <c r="G84" s="4" t="str">
        <f aca="false">IF(OR(E84="",F84=""),"",F84-E84)</f>
        <v/>
      </c>
      <c r="H84" s="4" t="str">
        <f aca="false">IF(G84="","",IF(ABS(G84)&lt;=5,"Yes","No"))</f>
        <v/>
      </c>
      <c r="I84" s="16"/>
      <c r="J84" s="16"/>
      <c r="K84" s="16"/>
    </row>
    <row r="85" customFormat="false" ht="15" hidden="false" customHeight="false" outlineLevel="0" collapsed="false">
      <c r="A85" s="16"/>
      <c r="B85" s="16"/>
      <c r="C85" s="16"/>
      <c r="D85" s="16"/>
      <c r="E85" s="16"/>
      <c r="F85" s="16"/>
      <c r="G85" s="4" t="str">
        <f aca="false">IF(OR(E85="",F85=""),"",F85-E85)</f>
        <v/>
      </c>
      <c r="H85" s="4" t="str">
        <f aca="false">IF(G85="","",IF(ABS(G85)&lt;=5,"Yes","No"))</f>
        <v/>
      </c>
      <c r="I85" s="16"/>
      <c r="J85" s="16"/>
      <c r="K85" s="16"/>
    </row>
    <row r="86" customFormat="false" ht="15" hidden="false" customHeight="false" outlineLevel="0" collapsed="false">
      <c r="A86" s="16"/>
      <c r="B86" s="16"/>
      <c r="C86" s="16"/>
      <c r="D86" s="16"/>
      <c r="E86" s="16"/>
      <c r="F86" s="16"/>
      <c r="G86" s="4" t="str">
        <f aca="false">IF(OR(E86="",F86=""),"",F86-E86)</f>
        <v/>
      </c>
      <c r="H86" s="4" t="str">
        <f aca="false">IF(G86="","",IF(ABS(G86)&lt;=5,"Yes","No"))</f>
        <v/>
      </c>
      <c r="I86" s="16"/>
      <c r="J86" s="16"/>
      <c r="K86" s="16"/>
    </row>
    <row r="87" customFormat="false" ht="15" hidden="false" customHeight="false" outlineLevel="0" collapsed="false">
      <c r="A87" s="16"/>
      <c r="B87" s="16"/>
      <c r="C87" s="16"/>
      <c r="D87" s="16"/>
      <c r="E87" s="16"/>
      <c r="F87" s="16"/>
      <c r="G87" s="4" t="str">
        <f aca="false">IF(OR(E87="",F87=""),"",F87-E87)</f>
        <v/>
      </c>
      <c r="H87" s="4" t="str">
        <f aca="false">IF(G87="","",IF(ABS(G87)&lt;=5,"Yes","No"))</f>
        <v/>
      </c>
      <c r="I87" s="16"/>
      <c r="J87" s="16"/>
      <c r="K87" s="16"/>
    </row>
    <row r="88" customFormat="false" ht="15" hidden="false" customHeight="false" outlineLevel="0" collapsed="false">
      <c r="A88" s="16"/>
      <c r="B88" s="16"/>
      <c r="C88" s="16"/>
      <c r="D88" s="16"/>
      <c r="E88" s="16"/>
      <c r="F88" s="16"/>
      <c r="G88" s="4" t="str">
        <f aca="false">IF(OR(E88="",F88=""),"",F88-E88)</f>
        <v/>
      </c>
      <c r="H88" s="4" t="str">
        <f aca="false">IF(G88="","",IF(ABS(G88)&lt;=5,"Yes","No"))</f>
        <v/>
      </c>
      <c r="I88" s="16"/>
      <c r="J88" s="16"/>
      <c r="K88" s="16"/>
    </row>
    <row r="89" customFormat="false" ht="15" hidden="false" customHeight="false" outlineLevel="0" collapsed="false">
      <c r="A89" s="16"/>
      <c r="B89" s="16"/>
      <c r="C89" s="16"/>
      <c r="D89" s="16"/>
      <c r="E89" s="16"/>
      <c r="F89" s="16"/>
      <c r="G89" s="4" t="str">
        <f aca="false">IF(OR(E89="",F89=""),"",F89-E89)</f>
        <v/>
      </c>
      <c r="H89" s="4" t="str">
        <f aca="false">IF(G89="","",IF(ABS(G89)&lt;=5,"Yes","No"))</f>
        <v/>
      </c>
      <c r="I89" s="16"/>
      <c r="J89" s="16"/>
      <c r="K89" s="16"/>
    </row>
    <row r="90" customFormat="false" ht="15" hidden="false" customHeight="false" outlineLevel="0" collapsed="false">
      <c r="A90" s="16"/>
      <c r="B90" s="16"/>
      <c r="C90" s="16"/>
      <c r="D90" s="16"/>
      <c r="E90" s="16"/>
      <c r="F90" s="16"/>
      <c r="G90" s="4" t="str">
        <f aca="false">IF(OR(E90="",F90=""),"",F90-E90)</f>
        <v/>
      </c>
      <c r="H90" s="4" t="str">
        <f aca="false">IF(G90="","",IF(ABS(G90)&lt;=5,"Yes","No"))</f>
        <v/>
      </c>
      <c r="I90" s="16"/>
      <c r="J90" s="16"/>
      <c r="K90" s="16"/>
    </row>
    <row r="91" customFormat="false" ht="15" hidden="false" customHeight="false" outlineLevel="0" collapsed="false">
      <c r="A91" s="16"/>
      <c r="B91" s="16"/>
      <c r="C91" s="16"/>
      <c r="D91" s="16"/>
      <c r="E91" s="16"/>
      <c r="F91" s="16"/>
      <c r="G91" s="4" t="str">
        <f aca="false">IF(OR(E91="",F91=""),"",F91-E91)</f>
        <v/>
      </c>
      <c r="H91" s="4" t="str">
        <f aca="false">IF(G91="","",IF(ABS(G91)&lt;=5,"Yes","No"))</f>
        <v/>
      </c>
      <c r="I91" s="16"/>
      <c r="J91" s="16"/>
      <c r="K91" s="16"/>
    </row>
    <row r="92" customFormat="false" ht="15" hidden="false" customHeight="false" outlineLevel="0" collapsed="false">
      <c r="A92" s="16"/>
      <c r="B92" s="16"/>
      <c r="C92" s="16"/>
      <c r="D92" s="16"/>
      <c r="E92" s="16"/>
      <c r="F92" s="16"/>
      <c r="G92" s="4" t="str">
        <f aca="false">IF(OR(E92="",F92=""),"",F92-E92)</f>
        <v/>
      </c>
      <c r="H92" s="4" t="str">
        <f aca="false">IF(G92="","",IF(ABS(G92)&lt;=5,"Yes","No"))</f>
        <v/>
      </c>
      <c r="I92" s="16"/>
      <c r="J92" s="16"/>
      <c r="K92" s="16"/>
    </row>
    <row r="93" customFormat="false" ht="15" hidden="false" customHeight="false" outlineLevel="0" collapsed="false">
      <c r="A93" s="16"/>
      <c r="B93" s="16"/>
      <c r="C93" s="16"/>
      <c r="D93" s="16"/>
      <c r="E93" s="16"/>
      <c r="F93" s="16"/>
      <c r="G93" s="4" t="str">
        <f aca="false">IF(OR(E93="",F93=""),"",F93-E93)</f>
        <v/>
      </c>
      <c r="H93" s="4" t="str">
        <f aca="false">IF(G93="","",IF(ABS(G93)&lt;=5,"Yes","No"))</f>
        <v/>
      </c>
      <c r="I93" s="16"/>
      <c r="J93" s="16"/>
      <c r="K93" s="16"/>
    </row>
    <row r="94" customFormat="false" ht="15" hidden="false" customHeight="false" outlineLevel="0" collapsed="false">
      <c r="A94" s="16"/>
      <c r="B94" s="16"/>
      <c r="C94" s="16"/>
      <c r="D94" s="16"/>
      <c r="E94" s="16"/>
      <c r="F94" s="16"/>
      <c r="G94" s="4" t="str">
        <f aca="false">IF(OR(E94="",F94=""),"",F94-E94)</f>
        <v/>
      </c>
      <c r="H94" s="4" t="str">
        <f aca="false">IF(G94="","",IF(ABS(G94)&lt;=5,"Yes","No"))</f>
        <v/>
      </c>
      <c r="I94" s="16"/>
      <c r="J94" s="16"/>
      <c r="K94" s="16"/>
    </row>
    <row r="95" customFormat="false" ht="15" hidden="false" customHeight="false" outlineLevel="0" collapsed="false">
      <c r="A95" s="16"/>
      <c r="B95" s="16"/>
      <c r="C95" s="16"/>
      <c r="D95" s="16"/>
      <c r="E95" s="16"/>
      <c r="F95" s="16"/>
      <c r="G95" s="4" t="str">
        <f aca="false">IF(OR(E95="",F95=""),"",F95-E95)</f>
        <v/>
      </c>
      <c r="H95" s="4" t="str">
        <f aca="false">IF(G95="","",IF(ABS(G95)&lt;=5,"Yes","No"))</f>
        <v/>
      </c>
      <c r="I95" s="16"/>
      <c r="J95" s="16"/>
      <c r="K95" s="16"/>
    </row>
    <row r="96" customFormat="false" ht="15" hidden="false" customHeight="false" outlineLevel="0" collapsed="false">
      <c r="A96" s="16"/>
      <c r="B96" s="16"/>
      <c r="C96" s="16"/>
      <c r="D96" s="16"/>
      <c r="E96" s="16"/>
      <c r="F96" s="16"/>
      <c r="G96" s="4" t="str">
        <f aca="false">IF(OR(E96="",F96=""),"",F96-E96)</f>
        <v/>
      </c>
      <c r="H96" s="4" t="str">
        <f aca="false">IF(G96="","",IF(ABS(G96)&lt;=5,"Yes","No"))</f>
        <v/>
      </c>
      <c r="I96" s="16"/>
      <c r="J96" s="16"/>
      <c r="K96" s="16"/>
    </row>
    <row r="97" customFormat="false" ht="15" hidden="false" customHeight="false" outlineLevel="0" collapsed="false">
      <c r="A97" s="16"/>
      <c r="B97" s="16"/>
      <c r="C97" s="16"/>
      <c r="D97" s="16"/>
      <c r="E97" s="16"/>
      <c r="F97" s="16"/>
      <c r="G97" s="4" t="str">
        <f aca="false">IF(OR(E97="",F97=""),"",F97-E97)</f>
        <v/>
      </c>
      <c r="H97" s="4" t="str">
        <f aca="false">IF(G97="","",IF(ABS(G97)&lt;=5,"Yes","No"))</f>
        <v/>
      </c>
      <c r="I97" s="16"/>
      <c r="J97" s="16"/>
      <c r="K97" s="16"/>
    </row>
    <row r="98" customFormat="false" ht="15" hidden="false" customHeight="false" outlineLevel="0" collapsed="false">
      <c r="A98" s="16"/>
      <c r="B98" s="16"/>
      <c r="C98" s="16"/>
      <c r="D98" s="16"/>
      <c r="E98" s="16"/>
      <c r="F98" s="16"/>
      <c r="G98" s="4" t="str">
        <f aca="false">IF(OR(E98="",F98=""),"",F98-E98)</f>
        <v/>
      </c>
      <c r="H98" s="4" t="str">
        <f aca="false">IF(G98="","",IF(ABS(G98)&lt;=5,"Yes","No"))</f>
        <v/>
      </c>
      <c r="I98" s="16"/>
      <c r="J98" s="16"/>
      <c r="K98" s="16"/>
    </row>
    <row r="99" customFormat="false" ht="15" hidden="false" customHeight="false" outlineLevel="0" collapsed="false">
      <c r="A99" s="16"/>
      <c r="B99" s="16"/>
      <c r="C99" s="16"/>
      <c r="D99" s="16"/>
      <c r="E99" s="16"/>
      <c r="F99" s="16"/>
      <c r="G99" s="4" t="str">
        <f aca="false">IF(OR(E99="",F99=""),"",F99-E99)</f>
        <v/>
      </c>
      <c r="H99" s="4" t="str">
        <f aca="false">IF(G99="","",IF(ABS(G99)&lt;=5,"Yes","No"))</f>
        <v/>
      </c>
      <c r="I99" s="16"/>
      <c r="J99" s="16"/>
      <c r="K99" s="16"/>
    </row>
    <row r="100" customFormat="false" ht="15" hidden="false" customHeight="false" outlineLevel="0" collapsed="false">
      <c r="A100" s="16"/>
      <c r="B100" s="16"/>
      <c r="C100" s="16"/>
      <c r="D100" s="16"/>
      <c r="E100" s="16"/>
      <c r="F100" s="16"/>
      <c r="G100" s="4" t="str">
        <f aca="false">IF(OR(E100="",F100=""),"",F100-E100)</f>
        <v/>
      </c>
      <c r="H100" s="4" t="str">
        <f aca="false">IF(G100="","",IF(ABS(G100)&lt;=5,"Yes","No"))</f>
        <v/>
      </c>
      <c r="I100" s="16"/>
      <c r="J100" s="16"/>
      <c r="K100" s="16"/>
    </row>
    <row r="101" customFormat="false" ht="15" hidden="false" customHeight="false" outlineLevel="0" collapsed="false">
      <c r="A101" s="16"/>
      <c r="B101" s="16"/>
      <c r="C101" s="16"/>
      <c r="D101" s="16"/>
      <c r="E101" s="16"/>
      <c r="F101" s="16"/>
      <c r="G101" s="4" t="str">
        <f aca="false">IF(OR(E101="",F101=""),"",F101-E101)</f>
        <v/>
      </c>
      <c r="H101" s="4" t="str">
        <f aca="false">IF(G101="","",IF(ABS(G101)&lt;=5,"Yes","No"))</f>
        <v/>
      </c>
      <c r="I101" s="16"/>
      <c r="J101" s="16"/>
      <c r="K101" s="16"/>
    </row>
    <row r="102" customFormat="false" ht="15" hidden="false" customHeight="false" outlineLevel="0" collapsed="false">
      <c r="A102" s="16"/>
      <c r="B102" s="16"/>
      <c r="C102" s="16"/>
      <c r="D102" s="16"/>
      <c r="E102" s="16"/>
      <c r="F102" s="16"/>
      <c r="G102" s="4" t="str">
        <f aca="false">IF(OR(E102="",F102=""),"",F102-E102)</f>
        <v/>
      </c>
      <c r="H102" s="4" t="str">
        <f aca="false">IF(G102="","",IF(ABS(G102)&lt;=5,"Yes","No"))</f>
        <v/>
      </c>
      <c r="I102" s="16"/>
      <c r="J102" s="16"/>
      <c r="K102" s="16"/>
    </row>
    <row r="103" customFormat="false" ht="15" hidden="false" customHeight="false" outlineLevel="0" collapsed="false">
      <c r="A103" s="16"/>
      <c r="B103" s="16"/>
      <c r="C103" s="16"/>
      <c r="D103" s="16"/>
      <c r="E103" s="16"/>
      <c r="F103" s="16"/>
      <c r="G103" s="4" t="str">
        <f aca="false">IF(OR(E103="",F103=""),"",F103-E103)</f>
        <v/>
      </c>
      <c r="H103" s="4" t="str">
        <f aca="false">IF(G103="","",IF(ABS(G103)&lt;=5,"Yes","No"))</f>
        <v/>
      </c>
      <c r="I103" s="16"/>
      <c r="J103" s="16"/>
      <c r="K103" s="16"/>
    </row>
    <row r="104" customFormat="false" ht="15" hidden="false" customHeight="false" outlineLevel="0" collapsed="false">
      <c r="A104" s="16"/>
      <c r="B104" s="16"/>
      <c r="C104" s="16"/>
      <c r="D104" s="16"/>
      <c r="E104" s="16"/>
      <c r="F104" s="16"/>
      <c r="G104" s="4" t="str">
        <f aca="false">IF(OR(E104="",F104=""),"",F104-E104)</f>
        <v/>
      </c>
      <c r="H104" s="4" t="str">
        <f aca="false">IF(G104="","",IF(ABS(G104)&lt;=5,"Yes","No"))</f>
        <v/>
      </c>
      <c r="I104" s="16"/>
      <c r="J104" s="16"/>
      <c r="K104" s="16"/>
    </row>
    <row r="105" customFormat="false" ht="15" hidden="false" customHeight="false" outlineLevel="0" collapsed="false">
      <c r="A105" s="16"/>
      <c r="B105" s="16"/>
      <c r="C105" s="16"/>
      <c r="D105" s="16"/>
      <c r="E105" s="16"/>
      <c r="F105" s="16"/>
      <c r="G105" s="4" t="str">
        <f aca="false">IF(OR(E105="",F105=""),"",F105-E105)</f>
        <v/>
      </c>
      <c r="H105" s="4" t="str">
        <f aca="false">IF(G105="","",IF(ABS(G105)&lt;=5,"Yes","No"))</f>
        <v/>
      </c>
      <c r="I105" s="16"/>
      <c r="J105" s="16"/>
      <c r="K105" s="16"/>
    </row>
    <row r="106" customFormat="false" ht="15" hidden="false" customHeight="false" outlineLevel="0" collapsed="false">
      <c r="A106" s="16"/>
      <c r="B106" s="16"/>
      <c r="C106" s="16"/>
      <c r="D106" s="16"/>
      <c r="E106" s="16"/>
      <c r="F106" s="16"/>
      <c r="G106" s="4" t="str">
        <f aca="false">IF(OR(E106="",F106=""),"",F106-E106)</f>
        <v/>
      </c>
      <c r="H106" s="4" t="str">
        <f aca="false">IF(G106="","",IF(ABS(G106)&lt;=5,"Yes","No"))</f>
        <v/>
      </c>
      <c r="I106" s="16"/>
      <c r="J106" s="16"/>
      <c r="K106" s="16"/>
    </row>
    <row r="107" customFormat="false" ht="15" hidden="false" customHeight="false" outlineLevel="0" collapsed="false">
      <c r="A107" s="16"/>
      <c r="B107" s="16"/>
      <c r="C107" s="16"/>
      <c r="D107" s="16"/>
      <c r="E107" s="16"/>
      <c r="F107" s="16"/>
      <c r="G107" s="4" t="str">
        <f aca="false">IF(OR(E107="",F107=""),"",F107-E107)</f>
        <v/>
      </c>
      <c r="H107" s="4" t="str">
        <f aca="false">IF(G107="","",IF(ABS(G107)&lt;=5,"Yes","No"))</f>
        <v/>
      </c>
      <c r="I107" s="16"/>
      <c r="J107" s="16"/>
      <c r="K107" s="16"/>
    </row>
    <row r="108" customFormat="false" ht="15" hidden="false" customHeight="false" outlineLevel="0" collapsed="false">
      <c r="A108" s="16"/>
      <c r="B108" s="16"/>
      <c r="C108" s="16"/>
      <c r="D108" s="16"/>
      <c r="E108" s="16"/>
      <c r="F108" s="16"/>
      <c r="G108" s="4" t="str">
        <f aca="false">IF(OR(E108="",F108=""),"",F108-E108)</f>
        <v/>
      </c>
      <c r="H108" s="4" t="str">
        <f aca="false">IF(G108="","",IF(ABS(G108)&lt;=5,"Yes","No"))</f>
        <v/>
      </c>
      <c r="I108" s="16"/>
      <c r="J108" s="16"/>
      <c r="K108" s="16"/>
    </row>
    <row r="109" customFormat="false" ht="15" hidden="false" customHeight="false" outlineLevel="0" collapsed="false">
      <c r="A109" s="16"/>
      <c r="B109" s="16"/>
      <c r="C109" s="16"/>
      <c r="D109" s="16"/>
      <c r="E109" s="16"/>
      <c r="F109" s="16"/>
      <c r="G109" s="4" t="str">
        <f aca="false">IF(OR(E109="",F109=""),"",F109-E109)</f>
        <v/>
      </c>
      <c r="H109" s="4" t="str">
        <f aca="false">IF(G109="","",IF(ABS(G109)&lt;=5,"Yes","No"))</f>
        <v/>
      </c>
      <c r="I109" s="16"/>
      <c r="J109" s="16"/>
      <c r="K109" s="16"/>
    </row>
    <row r="110" customFormat="false" ht="15" hidden="false" customHeight="false" outlineLevel="0" collapsed="false">
      <c r="A110" s="16"/>
      <c r="B110" s="16"/>
      <c r="C110" s="16"/>
      <c r="D110" s="16"/>
      <c r="E110" s="16"/>
      <c r="F110" s="16"/>
      <c r="G110" s="4" t="str">
        <f aca="false">IF(OR(E110="",F110=""),"",F110-E110)</f>
        <v/>
      </c>
      <c r="H110" s="4" t="str">
        <f aca="false">IF(G110="","",IF(ABS(G110)&lt;=5,"Yes","No"))</f>
        <v/>
      </c>
      <c r="I110" s="16"/>
      <c r="J110" s="16"/>
      <c r="K110" s="16"/>
    </row>
    <row r="111" customFormat="false" ht="15" hidden="false" customHeight="false" outlineLevel="0" collapsed="false">
      <c r="A111" s="16"/>
      <c r="B111" s="16"/>
      <c r="C111" s="16"/>
      <c r="D111" s="16"/>
      <c r="E111" s="16"/>
      <c r="F111" s="16"/>
      <c r="G111" s="4" t="str">
        <f aca="false">IF(OR(E111="",F111=""),"",F111-E111)</f>
        <v/>
      </c>
      <c r="H111" s="4" t="str">
        <f aca="false">IF(G111="","",IF(ABS(G111)&lt;=5,"Yes","No"))</f>
        <v/>
      </c>
      <c r="I111" s="16"/>
      <c r="J111" s="16"/>
      <c r="K111" s="16"/>
    </row>
    <row r="112" customFormat="false" ht="15" hidden="false" customHeight="false" outlineLevel="0" collapsed="false">
      <c r="A112" s="16"/>
      <c r="B112" s="16"/>
      <c r="C112" s="16"/>
      <c r="D112" s="16"/>
      <c r="E112" s="16"/>
      <c r="F112" s="16"/>
      <c r="G112" s="4" t="str">
        <f aca="false">IF(OR(E112="",F112=""),"",F112-E112)</f>
        <v/>
      </c>
      <c r="H112" s="4" t="str">
        <f aca="false">IF(G112="","",IF(ABS(G112)&lt;=5,"Yes","No"))</f>
        <v/>
      </c>
      <c r="I112" s="16"/>
      <c r="J112" s="16"/>
      <c r="K112" s="16"/>
    </row>
    <row r="113" customFormat="false" ht="15" hidden="false" customHeight="false" outlineLevel="0" collapsed="false">
      <c r="A113" s="16"/>
      <c r="B113" s="16"/>
      <c r="C113" s="16"/>
      <c r="D113" s="16"/>
      <c r="E113" s="16"/>
      <c r="F113" s="16"/>
      <c r="G113" s="4" t="str">
        <f aca="false">IF(OR(E113="",F113=""),"",F113-E113)</f>
        <v/>
      </c>
      <c r="H113" s="4" t="str">
        <f aca="false">IF(G113="","",IF(ABS(G113)&lt;=5,"Yes","No"))</f>
        <v/>
      </c>
      <c r="I113" s="16"/>
      <c r="J113" s="16"/>
      <c r="K113" s="16"/>
    </row>
    <row r="114" customFormat="false" ht="15" hidden="false" customHeight="false" outlineLevel="0" collapsed="false">
      <c r="A114" s="16"/>
      <c r="B114" s="16"/>
      <c r="C114" s="16"/>
      <c r="D114" s="16"/>
      <c r="E114" s="16"/>
      <c r="F114" s="16"/>
      <c r="G114" s="4" t="str">
        <f aca="false">IF(OR(E114="",F114=""),"",F114-E114)</f>
        <v/>
      </c>
      <c r="H114" s="4" t="str">
        <f aca="false">IF(G114="","",IF(ABS(G114)&lt;=5,"Yes","No"))</f>
        <v/>
      </c>
      <c r="I114" s="16"/>
      <c r="J114" s="16"/>
      <c r="K114" s="16"/>
    </row>
    <row r="115" customFormat="false" ht="15" hidden="false" customHeight="false" outlineLevel="0" collapsed="false">
      <c r="A115" s="16"/>
      <c r="B115" s="16"/>
      <c r="C115" s="16"/>
      <c r="D115" s="16"/>
      <c r="E115" s="16"/>
      <c r="F115" s="16"/>
      <c r="G115" s="4" t="str">
        <f aca="false">IF(OR(E115="",F115=""),"",F115-E115)</f>
        <v/>
      </c>
      <c r="H115" s="4" t="str">
        <f aca="false">IF(G115="","",IF(ABS(G115)&lt;=5,"Yes","No"))</f>
        <v/>
      </c>
      <c r="I115" s="16"/>
      <c r="J115" s="16"/>
      <c r="K115" s="16"/>
    </row>
    <row r="116" customFormat="false" ht="15" hidden="false" customHeight="false" outlineLevel="0" collapsed="false">
      <c r="A116" s="16"/>
      <c r="B116" s="16"/>
      <c r="C116" s="16"/>
      <c r="D116" s="16"/>
      <c r="E116" s="16"/>
      <c r="F116" s="16"/>
      <c r="G116" s="4" t="str">
        <f aca="false">IF(OR(E116="",F116=""),"",F116-E116)</f>
        <v/>
      </c>
      <c r="H116" s="4" t="str">
        <f aca="false">IF(G116="","",IF(ABS(G116)&lt;=5,"Yes","No"))</f>
        <v/>
      </c>
      <c r="I116" s="16"/>
      <c r="J116" s="16"/>
      <c r="K116" s="16"/>
    </row>
    <row r="117" customFormat="false" ht="15" hidden="false" customHeight="false" outlineLevel="0" collapsed="false">
      <c r="A117" s="16"/>
      <c r="B117" s="16"/>
      <c r="C117" s="16"/>
      <c r="D117" s="16"/>
      <c r="E117" s="16"/>
      <c r="F117" s="16"/>
      <c r="G117" s="4" t="str">
        <f aca="false">IF(OR(E117="",F117=""),"",F117-E117)</f>
        <v/>
      </c>
      <c r="H117" s="4" t="str">
        <f aca="false">IF(G117="","",IF(ABS(G117)&lt;=5,"Yes","No"))</f>
        <v/>
      </c>
      <c r="I117" s="16"/>
      <c r="J117" s="16"/>
      <c r="K117" s="16"/>
    </row>
    <row r="118" customFormat="false" ht="15" hidden="false" customHeight="false" outlineLevel="0" collapsed="false">
      <c r="A118" s="16"/>
      <c r="B118" s="16"/>
      <c r="C118" s="16"/>
      <c r="D118" s="16"/>
      <c r="E118" s="16"/>
      <c r="F118" s="16"/>
      <c r="G118" s="4" t="str">
        <f aca="false">IF(OR(E118="",F118=""),"",F118-E118)</f>
        <v/>
      </c>
      <c r="H118" s="4" t="str">
        <f aca="false">IF(G118="","",IF(ABS(G118)&lt;=5,"Yes","No"))</f>
        <v/>
      </c>
      <c r="I118" s="16"/>
      <c r="J118" s="16"/>
      <c r="K118" s="16"/>
    </row>
    <row r="119" customFormat="false" ht="15" hidden="false" customHeight="false" outlineLevel="0" collapsed="false">
      <c r="A119" s="16"/>
      <c r="B119" s="16"/>
      <c r="C119" s="16"/>
      <c r="D119" s="16"/>
      <c r="E119" s="16"/>
      <c r="F119" s="16"/>
      <c r="G119" s="4" t="str">
        <f aca="false">IF(OR(E119="",F119=""),"",F119-E119)</f>
        <v/>
      </c>
      <c r="H119" s="4" t="str">
        <f aca="false">IF(G119="","",IF(ABS(G119)&lt;=5,"Yes","No"))</f>
        <v/>
      </c>
      <c r="I119" s="16"/>
      <c r="J119" s="16"/>
      <c r="K119" s="16"/>
    </row>
    <row r="120" customFormat="false" ht="15" hidden="false" customHeight="false" outlineLevel="0" collapsed="false">
      <c r="A120" s="16"/>
      <c r="B120" s="16"/>
      <c r="C120" s="16"/>
      <c r="D120" s="16"/>
      <c r="E120" s="16"/>
      <c r="F120" s="16"/>
      <c r="G120" s="4" t="str">
        <f aca="false">IF(OR(E120="",F120=""),"",F120-E120)</f>
        <v/>
      </c>
      <c r="H120" s="4" t="str">
        <f aca="false">IF(G120="","",IF(ABS(G120)&lt;=5,"Yes","No"))</f>
        <v/>
      </c>
      <c r="I120" s="16"/>
      <c r="J120" s="16"/>
      <c r="K120" s="16"/>
    </row>
    <row r="121" customFormat="false" ht="15" hidden="false" customHeight="false" outlineLevel="0" collapsed="false">
      <c r="A121" s="16"/>
      <c r="B121" s="16"/>
      <c r="C121" s="16"/>
      <c r="D121" s="16"/>
      <c r="E121" s="16"/>
      <c r="F121" s="16"/>
      <c r="G121" s="4" t="str">
        <f aca="false">IF(OR(E121="",F121=""),"",F121-E121)</f>
        <v/>
      </c>
      <c r="H121" s="4" t="str">
        <f aca="false">IF(G121="","",IF(ABS(G121)&lt;=5,"Yes","No"))</f>
        <v/>
      </c>
      <c r="I121" s="16"/>
      <c r="J121" s="16"/>
      <c r="K121" s="16"/>
    </row>
    <row r="122" customFormat="false" ht="15" hidden="false" customHeight="false" outlineLevel="0" collapsed="false">
      <c r="A122" s="16"/>
      <c r="B122" s="16"/>
      <c r="C122" s="16"/>
      <c r="D122" s="16"/>
      <c r="E122" s="16"/>
      <c r="F122" s="16"/>
      <c r="G122" s="4" t="str">
        <f aca="false">IF(OR(E122="",F122=""),"",F122-E122)</f>
        <v/>
      </c>
      <c r="H122" s="4" t="str">
        <f aca="false">IF(G122="","",IF(ABS(G122)&lt;=5,"Yes","No"))</f>
        <v/>
      </c>
      <c r="I122" s="16"/>
      <c r="J122" s="16"/>
      <c r="K122" s="16"/>
    </row>
    <row r="123" customFormat="false" ht="15" hidden="false" customHeight="false" outlineLevel="0" collapsed="false">
      <c r="A123" s="16"/>
      <c r="B123" s="16"/>
      <c r="C123" s="16"/>
      <c r="D123" s="16"/>
      <c r="E123" s="16"/>
      <c r="F123" s="16"/>
      <c r="G123" s="4" t="str">
        <f aca="false">IF(OR(E123="",F123=""),"",F123-E123)</f>
        <v/>
      </c>
      <c r="H123" s="4" t="str">
        <f aca="false">IF(G123="","",IF(ABS(G123)&lt;=5,"Yes","No"))</f>
        <v/>
      </c>
      <c r="I123" s="16"/>
      <c r="J123" s="16"/>
      <c r="K123" s="16"/>
    </row>
    <row r="124" customFormat="false" ht="15" hidden="false" customHeight="false" outlineLevel="0" collapsed="false">
      <c r="A124" s="16"/>
      <c r="B124" s="16"/>
      <c r="C124" s="16"/>
      <c r="D124" s="16"/>
      <c r="E124" s="16"/>
      <c r="F124" s="16"/>
      <c r="G124" s="4" t="str">
        <f aca="false">IF(OR(E124="",F124=""),"",F124-E124)</f>
        <v/>
      </c>
      <c r="H124" s="4" t="str">
        <f aca="false">IF(G124="","",IF(ABS(G124)&lt;=5,"Yes","No"))</f>
        <v/>
      </c>
      <c r="I124" s="16"/>
      <c r="J124" s="16"/>
      <c r="K124" s="16"/>
    </row>
    <row r="125" customFormat="false" ht="15" hidden="false" customHeight="false" outlineLevel="0" collapsed="false">
      <c r="A125" s="16"/>
      <c r="B125" s="16"/>
      <c r="C125" s="16"/>
      <c r="D125" s="16"/>
      <c r="E125" s="16"/>
      <c r="F125" s="16"/>
      <c r="G125" s="4" t="str">
        <f aca="false">IF(OR(E125="",F125=""),"",F125-E125)</f>
        <v/>
      </c>
      <c r="H125" s="4" t="str">
        <f aca="false">IF(G125="","",IF(ABS(G125)&lt;=5,"Yes","No"))</f>
        <v/>
      </c>
      <c r="I125" s="16"/>
      <c r="J125" s="16"/>
      <c r="K125" s="16"/>
    </row>
    <row r="126" customFormat="false" ht="15" hidden="false" customHeight="false" outlineLevel="0" collapsed="false">
      <c r="A126" s="16"/>
      <c r="B126" s="16"/>
      <c r="C126" s="16"/>
      <c r="D126" s="16"/>
      <c r="E126" s="16"/>
      <c r="F126" s="16"/>
      <c r="G126" s="4" t="str">
        <f aca="false">IF(OR(E126="",F126=""),"",F126-E126)</f>
        <v/>
      </c>
      <c r="H126" s="4" t="str">
        <f aca="false">IF(G126="","",IF(ABS(G126)&lt;=5,"Yes","No"))</f>
        <v/>
      </c>
      <c r="I126" s="16"/>
      <c r="J126" s="16"/>
      <c r="K126" s="16"/>
    </row>
    <row r="127" customFormat="false" ht="15" hidden="false" customHeight="false" outlineLevel="0" collapsed="false">
      <c r="A127" s="16"/>
      <c r="B127" s="16"/>
      <c r="C127" s="16"/>
      <c r="D127" s="16"/>
      <c r="E127" s="16"/>
      <c r="F127" s="16"/>
      <c r="G127" s="4" t="str">
        <f aca="false">IF(OR(E127="",F127=""),"",F127-E127)</f>
        <v/>
      </c>
      <c r="H127" s="4" t="str">
        <f aca="false">IF(G127="","",IF(ABS(G127)&lt;=5,"Yes","No"))</f>
        <v/>
      </c>
      <c r="I127" s="16"/>
      <c r="J127" s="16"/>
      <c r="K127" s="16"/>
    </row>
    <row r="128" customFormat="false" ht="15" hidden="false" customHeight="false" outlineLevel="0" collapsed="false">
      <c r="A128" s="16"/>
      <c r="B128" s="16"/>
      <c r="C128" s="16"/>
      <c r="D128" s="16"/>
      <c r="E128" s="16"/>
      <c r="F128" s="16"/>
      <c r="G128" s="4" t="str">
        <f aca="false">IF(OR(E128="",F128=""),"",F128-E128)</f>
        <v/>
      </c>
      <c r="H128" s="4" t="str">
        <f aca="false">IF(G128="","",IF(ABS(G128)&lt;=5,"Yes","No"))</f>
        <v/>
      </c>
      <c r="I128" s="16"/>
      <c r="J128" s="16"/>
      <c r="K128" s="16"/>
    </row>
    <row r="129" customFormat="false" ht="15" hidden="false" customHeight="false" outlineLevel="0" collapsed="false">
      <c r="A129" s="16"/>
      <c r="B129" s="16"/>
      <c r="C129" s="16"/>
      <c r="D129" s="16"/>
      <c r="E129" s="16"/>
      <c r="F129" s="16"/>
      <c r="G129" s="4" t="str">
        <f aca="false">IF(OR(E129="",F129=""),"",F129-E129)</f>
        <v/>
      </c>
      <c r="H129" s="4" t="str">
        <f aca="false">IF(G129="","",IF(ABS(G129)&lt;=5,"Yes","No"))</f>
        <v/>
      </c>
      <c r="I129" s="16"/>
      <c r="J129" s="16"/>
      <c r="K129" s="16"/>
    </row>
    <row r="130" customFormat="false" ht="15" hidden="false" customHeight="false" outlineLevel="0" collapsed="false">
      <c r="A130" s="16"/>
      <c r="B130" s="16"/>
      <c r="C130" s="16"/>
      <c r="D130" s="16"/>
      <c r="E130" s="16"/>
      <c r="F130" s="16"/>
      <c r="G130" s="4" t="str">
        <f aca="false">IF(OR(E130="",F130=""),"",F130-E130)</f>
        <v/>
      </c>
      <c r="H130" s="4" t="str">
        <f aca="false">IF(G130="","",IF(ABS(G130)&lt;=5,"Yes","No"))</f>
        <v/>
      </c>
      <c r="I130" s="16"/>
      <c r="J130" s="16"/>
      <c r="K130" s="16"/>
    </row>
    <row r="131" customFormat="false" ht="15" hidden="false" customHeight="false" outlineLevel="0" collapsed="false">
      <c r="A131" s="16"/>
      <c r="B131" s="16"/>
      <c r="C131" s="16"/>
      <c r="D131" s="16"/>
      <c r="E131" s="16"/>
      <c r="F131" s="16"/>
      <c r="G131" s="4" t="str">
        <f aca="false">IF(OR(E131="",F131=""),"",F131-E131)</f>
        <v/>
      </c>
      <c r="H131" s="4" t="str">
        <f aca="false">IF(G131="","",IF(ABS(G131)&lt;=5,"Yes","No"))</f>
        <v/>
      </c>
      <c r="I131" s="16"/>
      <c r="J131" s="16"/>
      <c r="K131" s="16"/>
    </row>
    <row r="132" customFormat="false" ht="15" hidden="false" customHeight="false" outlineLevel="0" collapsed="false">
      <c r="A132" s="16"/>
      <c r="B132" s="16"/>
      <c r="C132" s="16"/>
      <c r="D132" s="16"/>
      <c r="E132" s="16"/>
      <c r="F132" s="16"/>
      <c r="G132" s="4" t="str">
        <f aca="false">IF(OR(E132="",F132=""),"",F132-E132)</f>
        <v/>
      </c>
      <c r="H132" s="4" t="str">
        <f aca="false">IF(G132="","",IF(ABS(G132)&lt;=5,"Yes","No"))</f>
        <v/>
      </c>
      <c r="I132" s="16"/>
      <c r="J132" s="16"/>
      <c r="K132" s="16"/>
    </row>
    <row r="133" customFormat="false" ht="15" hidden="false" customHeight="false" outlineLevel="0" collapsed="false">
      <c r="A133" s="16"/>
      <c r="B133" s="16"/>
      <c r="C133" s="16"/>
      <c r="D133" s="16"/>
      <c r="E133" s="16"/>
      <c r="F133" s="16"/>
      <c r="G133" s="4" t="str">
        <f aca="false">IF(OR(E133="",F133=""),"",F133-E133)</f>
        <v/>
      </c>
      <c r="H133" s="4" t="str">
        <f aca="false">IF(G133="","",IF(ABS(G133)&lt;=5,"Yes","No"))</f>
        <v/>
      </c>
      <c r="I133" s="16"/>
      <c r="J133" s="16"/>
      <c r="K133" s="16"/>
    </row>
    <row r="134" customFormat="false" ht="15" hidden="false" customHeight="false" outlineLevel="0" collapsed="false">
      <c r="A134" s="16"/>
      <c r="B134" s="16"/>
      <c r="C134" s="16"/>
      <c r="D134" s="16"/>
      <c r="E134" s="16"/>
      <c r="F134" s="16"/>
      <c r="G134" s="4" t="str">
        <f aca="false">IF(OR(E134="",F134=""),"",F134-E134)</f>
        <v/>
      </c>
      <c r="H134" s="4" t="str">
        <f aca="false">IF(G134="","",IF(ABS(G134)&lt;=5,"Yes","No"))</f>
        <v/>
      </c>
      <c r="I134" s="16"/>
      <c r="J134" s="16"/>
      <c r="K134" s="16"/>
    </row>
    <row r="135" customFormat="false" ht="15" hidden="false" customHeight="false" outlineLevel="0" collapsed="false">
      <c r="A135" s="16"/>
      <c r="B135" s="16"/>
      <c r="C135" s="16"/>
      <c r="D135" s="16"/>
      <c r="E135" s="16"/>
      <c r="F135" s="16"/>
      <c r="G135" s="4" t="str">
        <f aca="false">IF(OR(E135="",F135=""),"",F135-E135)</f>
        <v/>
      </c>
      <c r="H135" s="4" t="str">
        <f aca="false">IF(G135="","",IF(ABS(G135)&lt;=5,"Yes","No"))</f>
        <v/>
      </c>
      <c r="I135" s="16"/>
      <c r="J135" s="16"/>
      <c r="K135" s="16"/>
    </row>
    <row r="136" customFormat="false" ht="15" hidden="false" customHeight="false" outlineLevel="0" collapsed="false">
      <c r="A136" s="16"/>
      <c r="B136" s="16"/>
      <c r="C136" s="16"/>
      <c r="D136" s="16"/>
      <c r="E136" s="16"/>
      <c r="F136" s="16"/>
      <c r="G136" s="4" t="str">
        <f aca="false">IF(OR(E136="",F136=""),"",F136-E136)</f>
        <v/>
      </c>
      <c r="H136" s="4" t="str">
        <f aca="false">IF(G136="","",IF(ABS(G136)&lt;=5,"Yes","No"))</f>
        <v/>
      </c>
      <c r="I136" s="16"/>
      <c r="J136" s="16"/>
      <c r="K136" s="16"/>
    </row>
    <row r="137" customFormat="false" ht="15" hidden="false" customHeight="false" outlineLevel="0" collapsed="false">
      <c r="A137" s="16"/>
      <c r="B137" s="16"/>
      <c r="C137" s="16"/>
      <c r="D137" s="16"/>
      <c r="E137" s="16"/>
      <c r="F137" s="16"/>
      <c r="G137" s="4" t="str">
        <f aca="false">IF(OR(E137="",F137=""),"",F137-E137)</f>
        <v/>
      </c>
      <c r="H137" s="4" t="str">
        <f aca="false">IF(G137="","",IF(ABS(G137)&lt;=5,"Yes","No"))</f>
        <v/>
      </c>
      <c r="I137" s="16"/>
      <c r="J137" s="16"/>
      <c r="K137" s="16"/>
    </row>
    <row r="138" customFormat="false" ht="15" hidden="false" customHeight="false" outlineLevel="0" collapsed="false">
      <c r="A138" s="16"/>
      <c r="B138" s="16"/>
      <c r="C138" s="16"/>
      <c r="D138" s="16"/>
      <c r="E138" s="16"/>
      <c r="F138" s="16"/>
      <c r="G138" s="4" t="str">
        <f aca="false">IF(OR(E138="",F138=""),"",F138-E138)</f>
        <v/>
      </c>
      <c r="H138" s="4" t="str">
        <f aca="false">IF(G138="","",IF(ABS(G138)&lt;=5,"Yes","No"))</f>
        <v/>
      </c>
      <c r="I138" s="16"/>
      <c r="J138" s="16"/>
      <c r="K138" s="16"/>
    </row>
    <row r="139" customFormat="false" ht="15" hidden="false" customHeight="false" outlineLevel="0" collapsed="false">
      <c r="A139" s="16"/>
      <c r="B139" s="16"/>
      <c r="C139" s="16"/>
      <c r="D139" s="16"/>
      <c r="E139" s="16"/>
      <c r="F139" s="16"/>
      <c r="G139" s="4" t="str">
        <f aca="false">IF(OR(E139="",F139=""),"",F139-E139)</f>
        <v/>
      </c>
      <c r="H139" s="4" t="str">
        <f aca="false">IF(G139="","",IF(ABS(G139)&lt;=5,"Yes","No"))</f>
        <v/>
      </c>
      <c r="I139" s="16"/>
      <c r="J139" s="16"/>
      <c r="K139" s="16"/>
    </row>
    <row r="140" customFormat="false" ht="15" hidden="false" customHeight="false" outlineLevel="0" collapsed="false">
      <c r="A140" s="16"/>
      <c r="B140" s="16"/>
      <c r="C140" s="16"/>
      <c r="D140" s="16"/>
      <c r="E140" s="16"/>
      <c r="F140" s="16"/>
      <c r="G140" s="4" t="str">
        <f aca="false">IF(OR(E140="",F140=""),"",F140-E140)</f>
        <v/>
      </c>
      <c r="H140" s="4" t="str">
        <f aca="false">IF(G140="","",IF(ABS(G140)&lt;=5,"Yes","No"))</f>
        <v/>
      </c>
      <c r="I140" s="16"/>
      <c r="J140" s="16"/>
      <c r="K140" s="16"/>
    </row>
    <row r="141" customFormat="false" ht="15" hidden="false" customHeight="false" outlineLevel="0" collapsed="false">
      <c r="A141" s="16"/>
      <c r="B141" s="16"/>
      <c r="C141" s="16"/>
      <c r="D141" s="16"/>
      <c r="E141" s="16"/>
      <c r="F141" s="16"/>
      <c r="G141" s="4" t="str">
        <f aca="false">IF(OR(E141="",F141=""),"",F141-E141)</f>
        <v/>
      </c>
      <c r="H141" s="4" t="str">
        <f aca="false">IF(G141="","",IF(ABS(G141)&lt;=5,"Yes","No"))</f>
        <v/>
      </c>
      <c r="I141" s="16"/>
      <c r="J141" s="16"/>
      <c r="K141" s="16"/>
    </row>
    <row r="142" customFormat="false" ht="15" hidden="false" customHeight="false" outlineLevel="0" collapsed="false">
      <c r="A142" s="16"/>
      <c r="B142" s="16"/>
      <c r="C142" s="16"/>
      <c r="D142" s="16"/>
      <c r="E142" s="16"/>
      <c r="F142" s="16"/>
      <c r="G142" s="4" t="str">
        <f aca="false">IF(OR(E142="",F142=""),"",F142-E142)</f>
        <v/>
      </c>
      <c r="H142" s="4" t="str">
        <f aca="false">IF(G142="","",IF(ABS(G142)&lt;=5,"Yes","No"))</f>
        <v/>
      </c>
      <c r="I142" s="16"/>
      <c r="J142" s="16"/>
      <c r="K142" s="16"/>
    </row>
    <row r="143" customFormat="false" ht="15" hidden="false" customHeight="false" outlineLevel="0" collapsed="false">
      <c r="A143" s="16"/>
      <c r="B143" s="16"/>
      <c r="C143" s="16"/>
      <c r="D143" s="16"/>
      <c r="E143" s="16"/>
      <c r="F143" s="16"/>
      <c r="G143" s="4" t="str">
        <f aca="false">IF(OR(E143="",F143=""),"",F143-E143)</f>
        <v/>
      </c>
      <c r="H143" s="4" t="str">
        <f aca="false">IF(G143="","",IF(ABS(G143)&lt;=5,"Yes","No"))</f>
        <v/>
      </c>
      <c r="I143" s="16"/>
      <c r="J143" s="16"/>
      <c r="K143" s="16"/>
    </row>
    <row r="144" customFormat="false" ht="15" hidden="false" customHeight="false" outlineLevel="0" collapsed="false">
      <c r="A144" s="16"/>
      <c r="B144" s="16"/>
      <c r="C144" s="16"/>
      <c r="D144" s="16"/>
      <c r="E144" s="16"/>
      <c r="F144" s="16"/>
      <c r="G144" s="4" t="str">
        <f aca="false">IF(OR(E144="",F144=""),"",F144-E144)</f>
        <v/>
      </c>
      <c r="H144" s="4" t="str">
        <f aca="false">IF(G144="","",IF(ABS(G144)&lt;=5,"Yes","No"))</f>
        <v/>
      </c>
      <c r="I144" s="16"/>
      <c r="J144" s="16"/>
      <c r="K144" s="16"/>
    </row>
    <row r="145" customFormat="false" ht="15" hidden="false" customHeight="false" outlineLevel="0" collapsed="false">
      <c r="A145" s="16"/>
      <c r="B145" s="16"/>
      <c r="C145" s="16"/>
      <c r="D145" s="16"/>
      <c r="E145" s="16"/>
      <c r="F145" s="16"/>
      <c r="G145" s="4" t="str">
        <f aca="false">IF(OR(E145="",F145=""),"",F145-E145)</f>
        <v/>
      </c>
      <c r="H145" s="4" t="str">
        <f aca="false">IF(G145="","",IF(ABS(G145)&lt;=5,"Yes","No"))</f>
        <v/>
      </c>
      <c r="I145" s="16"/>
      <c r="J145" s="16"/>
      <c r="K145" s="16"/>
    </row>
    <row r="146" customFormat="false" ht="15" hidden="false" customHeight="false" outlineLevel="0" collapsed="false">
      <c r="A146" s="16"/>
      <c r="B146" s="16"/>
      <c r="C146" s="16"/>
      <c r="D146" s="16"/>
      <c r="E146" s="16"/>
      <c r="F146" s="16"/>
      <c r="G146" s="4" t="str">
        <f aca="false">IF(OR(E146="",F146=""),"",F146-E146)</f>
        <v/>
      </c>
      <c r="H146" s="4" t="str">
        <f aca="false">IF(G146="","",IF(ABS(G146)&lt;=5,"Yes","No"))</f>
        <v/>
      </c>
      <c r="I146" s="16"/>
      <c r="J146" s="16"/>
      <c r="K146" s="16"/>
    </row>
    <row r="147" customFormat="false" ht="15" hidden="false" customHeight="false" outlineLevel="0" collapsed="false">
      <c r="A147" s="16"/>
      <c r="B147" s="16"/>
      <c r="C147" s="16"/>
      <c r="D147" s="16"/>
      <c r="E147" s="16"/>
      <c r="F147" s="16"/>
      <c r="G147" s="4" t="str">
        <f aca="false">IF(OR(E147="",F147=""),"",F147-E147)</f>
        <v/>
      </c>
      <c r="H147" s="4" t="str">
        <f aca="false">IF(G147="","",IF(ABS(G147)&lt;=5,"Yes","No"))</f>
        <v/>
      </c>
      <c r="I147" s="16"/>
      <c r="J147" s="16"/>
      <c r="K147" s="16"/>
    </row>
    <row r="148" customFormat="false" ht="15" hidden="false" customHeight="false" outlineLevel="0" collapsed="false">
      <c r="A148" s="16"/>
      <c r="B148" s="16"/>
      <c r="C148" s="16"/>
      <c r="D148" s="16"/>
      <c r="E148" s="16"/>
      <c r="F148" s="16"/>
      <c r="G148" s="4" t="str">
        <f aca="false">IF(OR(E148="",F148=""),"",F148-E148)</f>
        <v/>
      </c>
      <c r="H148" s="4" t="str">
        <f aca="false">IF(G148="","",IF(ABS(G148)&lt;=5,"Yes","No"))</f>
        <v/>
      </c>
      <c r="I148" s="16"/>
      <c r="J148" s="16"/>
      <c r="K148" s="16"/>
    </row>
    <row r="149" customFormat="false" ht="15" hidden="false" customHeight="false" outlineLevel="0" collapsed="false">
      <c r="A149" s="16"/>
      <c r="B149" s="16"/>
      <c r="C149" s="16"/>
      <c r="D149" s="16"/>
      <c r="E149" s="16"/>
      <c r="F149" s="16"/>
      <c r="G149" s="4" t="str">
        <f aca="false">IF(OR(E149="",F149=""),"",F149-E149)</f>
        <v/>
      </c>
      <c r="H149" s="4" t="str">
        <f aca="false">IF(G149="","",IF(ABS(G149)&lt;=5,"Yes","No"))</f>
        <v/>
      </c>
      <c r="I149" s="16"/>
      <c r="J149" s="16"/>
      <c r="K149" s="16"/>
    </row>
    <row r="150" customFormat="false" ht="15" hidden="false" customHeight="false" outlineLevel="0" collapsed="false">
      <c r="A150" s="16"/>
      <c r="B150" s="16"/>
      <c r="C150" s="16"/>
      <c r="D150" s="16"/>
      <c r="E150" s="16"/>
      <c r="F150" s="16"/>
      <c r="G150" s="4" t="str">
        <f aca="false">IF(OR(E150="",F150=""),"",F150-E150)</f>
        <v/>
      </c>
      <c r="H150" s="4" t="str">
        <f aca="false">IF(G150="","",IF(ABS(G150)&lt;=5,"Yes","No"))</f>
        <v/>
      </c>
      <c r="I150" s="16"/>
      <c r="J150" s="16"/>
      <c r="K150" s="16"/>
    </row>
    <row r="151" customFormat="false" ht="15" hidden="false" customHeight="false" outlineLevel="0" collapsed="false">
      <c r="A151" s="16"/>
      <c r="B151" s="16"/>
      <c r="C151" s="16"/>
      <c r="D151" s="16"/>
      <c r="E151" s="16"/>
      <c r="F151" s="16"/>
      <c r="G151" s="4" t="str">
        <f aca="false">IF(OR(E151="",F151=""),"",F151-E151)</f>
        <v/>
      </c>
      <c r="H151" s="4" t="str">
        <f aca="false">IF(G151="","",IF(ABS(G151)&lt;=5,"Yes","No"))</f>
        <v/>
      </c>
      <c r="I151" s="16"/>
      <c r="J151" s="16"/>
      <c r="K151" s="16"/>
    </row>
    <row r="152" customFormat="false" ht="15" hidden="false" customHeight="false" outlineLevel="0" collapsed="false">
      <c r="A152" s="16"/>
      <c r="B152" s="16"/>
      <c r="C152" s="16"/>
      <c r="D152" s="16"/>
      <c r="E152" s="16"/>
      <c r="F152" s="16"/>
      <c r="G152" s="4" t="str">
        <f aca="false">IF(OR(E152="",F152=""),"",F152-E152)</f>
        <v/>
      </c>
      <c r="H152" s="4" t="str">
        <f aca="false">IF(G152="","",IF(ABS(G152)&lt;=5,"Yes","No"))</f>
        <v/>
      </c>
      <c r="I152" s="16"/>
      <c r="J152" s="16"/>
      <c r="K152" s="16"/>
    </row>
    <row r="153" customFormat="false" ht="15" hidden="false" customHeight="false" outlineLevel="0" collapsed="false">
      <c r="A153" s="16"/>
      <c r="B153" s="16"/>
      <c r="C153" s="16"/>
      <c r="D153" s="16"/>
      <c r="E153" s="16"/>
      <c r="F153" s="16"/>
      <c r="G153" s="4" t="str">
        <f aca="false">IF(OR(E153="",F153=""),"",F153-E153)</f>
        <v/>
      </c>
      <c r="H153" s="4" t="str">
        <f aca="false">IF(G153="","",IF(ABS(G153)&lt;=5,"Yes","No"))</f>
        <v/>
      </c>
      <c r="I153" s="16"/>
      <c r="J153" s="16"/>
      <c r="K153" s="16"/>
    </row>
    <row r="154" customFormat="false" ht="15" hidden="false" customHeight="false" outlineLevel="0" collapsed="false">
      <c r="A154" s="16"/>
      <c r="B154" s="16"/>
      <c r="C154" s="16"/>
      <c r="D154" s="16"/>
      <c r="E154" s="16"/>
      <c r="F154" s="16"/>
      <c r="G154" s="4" t="str">
        <f aca="false">IF(OR(E154="",F154=""),"",F154-E154)</f>
        <v/>
      </c>
      <c r="H154" s="4" t="str">
        <f aca="false">IF(G154="","",IF(ABS(G154)&lt;=5,"Yes","No"))</f>
        <v/>
      </c>
      <c r="I154" s="16"/>
      <c r="J154" s="16"/>
      <c r="K154" s="16"/>
    </row>
    <row r="155" customFormat="false" ht="15" hidden="false" customHeight="false" outlineLevel="0" collapsed="false">
      <c r="A155" s="16"/>
      <c r="B155" s="16"/>
      <c r="C155" s="16"/>
      <c r="D155" s="16"/>
      <c r="E155" s="16"/>
      <c r="F155" s="16"/>
      <c r="G155" s="4" t="str">
        <f aca="false">IF(OR(E155="",F155=""),"",F155-E155)</f>
        <v/>
      </c>
      <c r="H155" s="4" t="str">
        <f aca="false">IF(G155="","",IF(ABS(G155)&lt;=5,"Yes","No"))</f>
        <v/>
      </c>
      <c r="I155" s="16"/>
      <c r="J155" s="16"/>
      <c r="K155" s="16"/>
    </row>
    <row r="156" customFormat="false" ht="15" hidden="false" customHeight="false" outlineLevel="0" collapsed="false">
      <c r="A156" s="16"/>
      <c r="B156" s="16"/>
      <c r="C156" s="16"/>
      <c r="D156" s="16"/>
      <c r="E156" s="16"/>
      <c r="F156" s="16"/>
      <c r="G156" s="4" t="str">
        <f aca="false">IF(OR(E156="",F156=""),"",F156-E156)</f>
        <v/>
      </c>
      <c r="H156" s="4" t="str">
        <f aca="false">IF(G156="","",IF(ABS(G156)&lt;=5,"Yes","No"))</f>
        <v/>
      </c>
      <c r="I156" s="16"/>
      <c r="J156" s="16"/>
      <c r="K156" s="16"/>
    </row>
    <row r="157" customFormat="false" ht="15" hidden="false" customHeight="false" outlineLevel="0" collapsed="false">
      <c r="A157" s="16"/>
      <c r="B157" s="16"/>
      <c r="C157" s="16"/>
      <c r="D157" s="16"/>
      <c r="E157" s="16"/>
      <c r="F157" s="16"/>
      <c r="G157" s="4" t="str">
        <f aca="false">IF(OR(E157="",F157=""),"",F157-E157)</f>
        <v/>
      </c>
      <c r="H157" s="4" t="str">
        <f aca="false">IF(G157="","",IF(ABS(G157)&lt;=5,"Yes","No"))</f>
        <v/>
      </c>
      <c r="I157" s="16"/>
      <c r="J157" s="16"/>
      <c r="K157" s="16"/>
    </row>
    <row r="158" customFormat="false" ht="15" hidden="false" customHeight="false" outlineLevel="0" collapsed="false">
      <c r="A158" s="16"/>
      <c r="B158" s="16"/>
      <c r="C158" s="16"/>
      <c r="D158" s="16"/>
      <c r="E158" s="16"/>
      <c r="F158" s="16"/>
      <c r="G158" s="4" t="str">
        <f aca="false">IF(OR(E158="",F158=""),"",F158-E158)</f>
        <v/>
      </c>
      <c r="H158" s="4" t="str">
        <f aca="false">IF(G158="","",IF(ABS(G158)&lt;=5,"Yes","No"))</f>
        <v/>
      </c>
      <c r="I158" s="16"/>
      <c r="J158" s="16"/>
      <c r="K158" s="16"/>
    </row>
    <row r="159" customFormat="false" ht="15" hidden="false" customHeight="false" outlineLevel="0" collapsed="false">
      <c r="A159" s="16"/>
      <c r="B159" s="16"/>
      <c r="C159" s="16"/>
      <c r="D159" s="16"/>
      <c r="E159" s="16"/>
      <c r="F159" s="16"/>
      <c r="G159" s="4" t="str">
        <f aca="false">IF(OR(E159="",F159=""),"",F159-E159)</f>
        <v/>
      </c>
      <c r="H159" s="4" t="str">
        <f aca="false">IF(G159="","",IF(ABS(G159)&lt;=5,"Yes","No"))</f>
        <v/>
      </c>
      <c r="I159" s="16"/>
      <c r="J159" s="16"/>
      <c r="K159" s="16"/>
    </row>
    <row r="160" customFormat="false" ht="15" hidden="false" customHeight="false" outlineLevel="0" collapsed="false">
      <c r="A160" s="16"/>
      <c r="B160" s="16"/>
      <c r="C160" s="16"/>
      <c r="D160" s="16"/>
      <c r="E160" s="16"/>
      <c r="F160" s="16"/>
      <c r="G160" s="4" t="str">
        <f aca="false">IF(OR(E160="",F160=""),"",F160-E160)</f>
        <v/>
      </c>
      <c r="H160" s="4" t="str">
        <f aca="false">IF(G160="","",IF(ABS(G160)&lt;=5,"Yes","No"))</f>
        <v/>
      </c>
      <c r="I160" s="16"/>
      <c r="J160" s="16"/>
      <c r="K160" s="16"/>
    </row>
    <row r="161" customFormat="false" ht="15" hidden="false" customHeight="false" outlineLevel="0" collapsed="false">
      <c r="A161" s="16"/>
      <c r="B161" s="16"/>
      <c r="C161" s="16"/>
      <c r="D161" s="16"/>
      <c r="E161" s="16"/>
      <c r="F161" s="16"/>
      <c r="G161" s="4" t="str">
        <f aca="false">IF(OR(E161="",F161=""),"",F161-E161)</f>
        <v/>
      </c>
      <c r="H161" s="4" t="str">
        <f aca="false">IF(G161="","",IF(ABS(G161)&lt;=5,"Yes","No"))</f>
        <v/>
      </c>
      <c r="I161" s="16"/>
      <c r="J161" s="16"/>
      <c r="K161" s="16"/>
    </row>
    <row r="162" customFormat="false" ht="15" hidden="false" customHeight="false" outlineLevel="0" collapsed="false">
      <c r="A162" s="16"/>
      <c r="B162" s="16"/>
      <c r="C162" s="16"/>
      <c r="D162" s="16"/>
      <c r="E162" s="16"/>
      <c r="F162" s="16"/>
      <c r="G162" s="4" t="str">
        <f aca="false">IF(OR(E162="",F162=""),"",F162-E162)</f>
        <v/>
      </c>
      <c r="H162" s="4" t="str">
        <f aca="false">IF(G162="","",IF(ABS(G162)&lt;=5,"Yes","No"))</f>
        <v/>
      </c>
      <c r="I162" s="16"/>
      <c r="J162" s="16"/>
      <c r="K162" s="16"/>
    </row>
    <row r="163" customFormat="false" ht="15" hidden="false" customHeight="false" outlineLevel="0" collapsed="false">
      <c r="A163" s="16"/>
      <c r="B163" s="16"/>
      <c r="C163" s="16"/>
      <c r="D163" s="16"/>
      <c r="E163" s="16"/>
      <c r="F163" s="16"/>
      <c r="G163" s="4" t="str">
        <f aca="false">IF(OR(E163="",F163=""),"",F163-E163)</f>
        <v/>
      </c>
      <c r="H163" s="4" t="str">
        <f aca="false">IF(G163="","",IF(ABS(G163)&lt;=5,"Yes","No"))</f>
        <v/>
      </c>
      <c r="I163" s="16"/>
      <c r="J163" s="16"/>
      <c r="K163" s="16"/>
    </row>
    <row r="164" customFormat="false" ht="15" hidden="false" customHeight="false" outlineLevel="0" collapsed="false">
      <c r="A164" s="16"/>
      <c r="B164" s="16"/>
      <c r="C164" s="16"/>
      <c r="D164" s="16"/>
      <c r="E164" s="16"/>
      <c r="F164" s="16"/>
      <c r="G164" s="4" t="str">
        <f aca="false">IF(OR(E164="",F164=""),"",F164-E164)</f>
        <v/>
      </c>
      <c r="H164" s="4" t="str">
        <f aca="false">IF(G164="","",IF(ABS(G164)&lt;=5,"Yes","No"))</f>
        <v/>
      </c>
      <c r="I164" s="16"/>
      <c r="J164" s="16"/>
      <c r="K164" s="16"/>
    </row>
    <row r="165" customFormat="false" ht="15" hidden="false" customHeight="false" outlineLevel="0" collapsed="false">
      <c r="A165" s="16"/>
      <c r="B165" s="16"/>
      <c r="C165" s="16"/>
      <c r="D165" s="16"/>
      <c r="E165" s="16"/>
      <c r="F165" s="16"/>
      <c r="G165" s="4" t="str">
        <f aca="false">IF(OR(E165="",F165=""),"",F165-E165)</f>
        <v/>
      </c>
      <c r="H165" s="4" t="str">
        <f aca="false">IF(G165="","",IF(ABS(G165)&lt;=5,"Yes","No"))</f>
        <v/>
      </c>
      <c r="I165" s="16"/>
      <c r="J165" s="16"/>
      <c r="K165" s="16"/>
    </row>
    <row r="166" customFormat="false" ht="15" hidden="false" customHeight="false" outlineLevel="0" collapsed="false">
      <c r="A166" s="16"/>
      <c r="B166" s="16"/>
      <c r="C166" s="16"/>
      <c r="D166" s="16"/>
      <c r="E166" s="16"/>
      <c r="F166" s="16"/>
      <c r="G166" s="4" t="str">
        <f aca="false">IF(OR(E166="",F166=""),"",F166-E166)</f>
        <v/>
      </c>
      <c r="H166" s="4" t="str">
        <f aca="false">IF(G166="","",IF(ABS(G166)&lt;=5,"Yes","No"))</f>
        <v/>
      </c>
      <c r="I166" s="16"/>
      <c r="J166" s="16"/>
      <c r="K166" s="16"/>
    </row>
    <row r="167" customFormat="false" ht="15" hidden="false" customHeight="false" outlineLevel="0" collapsed="false">
      <c r="A167" s="16"/>
      <c r="B167" s="16"/>
      <c r="C167" s="16"/>
      <c r="D167" s="16"/>
      <c r="E167" s="16"/>
      <c r="F167" s="16"/>
      <c r="G167" s="4" t="str">
        <f aca="false">IF(OR(E167="",F167=""),"",F167-E167)</f>
        <v/>
      </c>
      <c r="H167" s="4" t="str">
        <f aca="false">IF(G167="","",IF(ABS(G167)&lt;=5,"Yes","No"))</f>
        <v/>
      </c>
      <c r="I167" s="16"/>
      <c r="J167" s="16"/>
      <c r="K167" s="16"/>
    </row>
    <row r="168" customFormat="false" ht="15" hidden="false" customHeight="false" outlineLevel="0" collapsed="false">
      <c r="A168" s="16"/>
      <c r="B168" s="16"/>
      <c r="C168" s="16"/>
      <c r="D168" s="16"/>
      <c r="E168" s="16"/>
      <c r="F168" s="16"/>
      <c r="G168" s="4" t="str">
        <f aca="false">IF(OR(E168="",F168=""),"",F168-E168)</f>
        <v/>
      </c>
      <c r="H168" s="4" t="str">
        <f aca="false">IF(G168="","",IF(ABS(G168)&lt;=5,"Yes","No"))</f>
        <v/>
      </c>
      <c r="I168" s="16"/>
      <c r="J168" s="16"/>
      <c r="K168" s="16"/>
    </row>
    <row r="169" customFormat="false" ht="15" hidden="false" customHeight="false" outlineLevel="0" collapsed="false">
      <c r="A169" s="16"/>
      <c r="B169" s="16"/>
      <c r="C169" s="16"/>
      <c r="D169" s="16"/>
      <c r="E169" s="16"/>
      <c r="F169" s="16"/>
      <c r="G169" s="4" t="str">
        <f aca="false">IF(OR(E169="",F169=""),"",F169-E169)</f>
        <v/>
      </c>
      <c r="H169" s="4" t="str">
        <f aca="false">IF(G169="","",IF(ABS(G169)&lt;=5,"Yes","No"))</f>
        <v/>
      </c>
      <c r="I169" s="16"/>
      <c r="J169" s="16"/>
      <c r="K169" s="16"/>
    </row>
    <row r="170" customFormat="false" ht="15" hidden="false" customHeight="false" outlineLevel="0" collapsed="false">
      <c r="A170" s="16"/>
      <c r="B170" s="16"/>
      <c r="C170" s="16"/>
      <c r="D170" s="16"/>
      <c r="E170" s="16"/>
      <c r="F170" s="16"/>
      <c r="G170" s="4" t="str">
        <f aca="false">IF(OR(E170="",F170=""),"",F170-E170)</f>
        <v/>
      </c>
      <c r="H170" s="4" t="str">
        <f aca="false">IF(G170="","",IF(ABS(G170)&lt;=5,"Yes","No"))</f>
        <v/>
      </c>
      <c r="I170" s="16"/>
      <c r="J170" s="16"/>
      <c r="K170" s="16"/>
    </row>
    <row r="171" customFormat="false" ht="15" hidden="false" customHeight="false" outlineLevel="0" collapsed="false">
      <c r="A171" s="16"/>
      <c r="B171" s="16"/>
      <c r="C171" s="16"/>
      <c r="D171" s="16"/>
      <c r="E171" s="16"/>
      <c r="F171" s="16"/>
      <c r="G171" s="4" t="str">
        <f aca="false">IF(OR(E171="",F171=""),"",F171-E171)</f>
        <v/>
      </c>
      <c r="H171" s="4" t="str">
        <f aca="false">IF(G171="","",IF(ABS(G171)&lt;=5,"Yes","No"))</f>
        <v/>
      </c>
      <c r="I171" s="16"/>
      <c r="J171" s="16"/>
      <c r="K171" s="16"/>
    </row>
    <row r="172" customFormat="false" ht="15" hidden="false" customHeight="false" outlineLevel="0" collapsed="false">
      <c r="A172" s="16"/>
      <c r="B172" s="16"/>
      <c r="C172" s="16"/>
      <c r="D172" s="16"/>
      <c r="E172" s="16"/>
      <c r="F172" s="16"/>
      <c r="G172" s="4" t="str">
        <f aca="false">IF(OR(E172="",F172=""),"",F172-E172)</f>
        <v/>
      </c>
      <c r="H172" s="4" t="str">
        <f aca="false">IF(G172="","",IF(ABS(G172)&lt;=5,"Yes","No"))</f>
        <v/>
      </c>
      <c r="I172" s="16"/>
      <c r="J172" s="16"/>
      <c r="K172" s="16"/>
    </row>
    <row r="173" customFormat="false" ht="15" hidden="false" customHeight="false" outlineLevel="0" collapsed="false">
      <c r="A173" s="16"/>
      <c r="B173" s="16"/>
      <c r="C173" s="16"/>
      <c r="D173" s="16"/>
      <c r="E173" s="16"/>
      <c r="F173" s="16"/>
      <c r="G173" s="4" t="str">
        <f aca="false">IF(OR(E173="",F173=""),"",F173-E173)</f>
        <v/>
      </c>
      <c r="H173" s="4" t="str">
        <f aca="false">IF(G173="","",IF(ABS(G173)&lt;=5,"Yes","No"))</f>
        <v/>
      </c>
      <c r="I173" s="16"/>
      <c r="J173" s="16"/>
      <c r="K173" s="16"/>
    </row>
    <row r="174" customFormat="false" ht="15" hidden="false" customHeight="false" outlineLevel="0" collapsed="false">
      <c r="A174" s="16"/>
      <c r="B174" s="16"/>
      <c r="C174" s="16"/>
      <c r="D174" s="16"/>
      <c r="E174" s="16"/>
      <c r="F174" s="16"/>
      <c r="G174" s="4" t="str">
        <f aca="false">IF(OR(E174="",F174=""),"",F174-E174)</f>
        <v/>
      </c>
      <c r="H174" s="4" t="str">
        <f aca="false">IF(G174="","",IF(ABS(G174)&lt;=5,"Yes","No"))</f>
        <v/>
      </c>
      <c r="I174" s="16"/>
      <c r="J174" s="16"/>
      <c r="K174" s="16"/>
    </row>
    <row r="175" customFormat="false" ht="15" hidden="false" customHeight="false" outlineLevel="0" collapsed="false">
      <c r="A175" s="16"/>
      <c r="B175" s="16"/>
      <c r="C175" s="16"/>
      <c r="D175" s="16"/>
      <c r="E175" s="16"/>
      <c r="F175" s="16"/>
      <c r="G175" s="4" t="str">
        <f aca="false">IF(OR(E175="",F175=""),"",F175-E175)</f>
        <v/>
      </c>
      <c r="H175" s="4" t="str">
        <f aca="false">IF(G175="","",IF(ABS(G175)&lt;=5,"Yes","No"))</f>
        <v/>
      </c>
      <c r="I175" s="16"/>
      <c r="J175" s="16"/>
      <c r="K175" s="16"/>
    </row>
    <row r="176" customFormat="false" ht="15" hidden="false" customHeight="false" outlineLevel="0" collapsed="false">
      <c r="A176" s="16"/>
      <c r="B176" s="16"/>
      <c r="C176" s="16"/>
      <c r="D176" s="16"/>
      <c r="E176" s="16"/>
      <c r="F176" s="16"/>
      <c r="G176" s="4" t="str">
        <f aca="false">IF(OR(E176="",F176=""),"",F176-E176)</f>
        <v/>
      </c>
      <c r="H176" s="4" t="str">
        <f aca="false">IF(G176="","",IF(ABS(G176)&lt;=5,"Yes","No"))</f>
        <v/>
      </c>
      <c r="I176" s="16"/>
      <c r="J176" s="16"/>
      <c r="K176" s="16"/>
    </row>
    <row r="177" customFormat="false" ht="15" hidden="false" customHeight="false" outlineLevel="0" collapsed="false">
      <c r="A177" s="16"/>
      <c r="B177" s="16"/>
      <c r="C177" s="16"/>
      <c r="D177" s="16"/>
      <c r="E177" s="16"/>
      <c r="F177" s="16"/>
      <c r="G177" s="4" t="str">
        <f aca="false">IF(OR(E177="",F177=""),"",F177-E177)</f>
        <v/>
      </c>
      <c r="H177" s="4" t="str">
        <f aca="false">IF(G177="","",IF(ABS(G177)&lt;=5,"Yes","No"))</f>
        <v/>
      </c>
      <c r="I177" s="16"/>
      <c r="J177" s="16"/>
      <c r="K177" s="16"/>
    </row>
    <row r="178" customFormat="false" ht="15" hidden="false" customHeight="false" outlineLevel="0" collapsed="false">
      <c r="A178" s="16"/>
      <c r="B178" s="16"/>
      <c r="C178" s="16"/>
      <c r="D178" s="16"/>
      <c r="E178" s="16"/>
      <c r="F178" s="16"/>
      <c r="G178" s="4" t="str">
        <f aca="false">IF(OR(E178="",F178=""),"",F178-E178)</f>
        <v/>
      </c>
      <c r="H178" s="4" t="str">
        <f aca="false">IF(G178="","",IF(ABS(G178)&lt;=5,"Yes","No"))</f>
        <v/>
      </c>
      <c r="I178" s="16"/>
      <c r="J178" s="16"/>
      <c r="K178" s="16"/>
    </row>
    <row r="179" customFormat="false" ht="15" hidden="false" customHeight="false" outlineLevel="0" collapsed="false">
      <c r="A179" s="16"/>
      <c r="B179" s="16"/>
      <c r="C179" s="16"/>
      <c r="D179" s="16"/>
      <c r="E179" s="16"/>
      <c r="F179" s="16"/>
      <c r="G179" s="4" t="str">
        <f aca="false">IF(OR(E179="",F179=""),"",F179-E179)</f>
        <v/>
      </c>
      <c r="H179" s="4" t="str">
        <f aca="false">IF(G179="","",IF(ABS(G179)&lt;=5,"Yes","No"))</f>
        <v/>
      </c>
      <c r="I179" s="16"/>
      <c r="J179" s="16"/>
      <c r="K179" s="16"/>
    </row>
    <row r="180" customFormat="false" ht="15" hidden="false" customHeight="false" outlineLevel="0" collapsed="false">
      <c r="A180" s="16"/>
      <c r="B180" s="16"/>
      <c r="C180" s="16"/>
      <c r="D180" s="16"/>
      <c r="E180" s="16"/>
      <c r="F180" s="16"/>
      <c r="G180" s="4" t="str">
        <f aca="false">IF(OR(E180="",F180=""),"",F180-E180)</f>
        <v/>
      </c>
      <c r="H180" s="4" t="str">
        <f aca="false">IF(G180="","",IF(ABS(G180)&lt;=5,"Yes","No"))</f>
        <v/>
      </c>
      <c r="I180" s="16"/>
      <c r="J180" s="16"/>
      <c r="K180" s="16"/>
    </row>
    <row r="181" customFormat="false" ht="15" hidden="false" customHeight="false" outlineLevel="0" collapsed="false">
      <c r="A181" s="16"/>
      <c r="B181" s="16"/>
      <c r="C181" s="16"/>
      <c r="D181" s="16"/>
      <c r="E181" s="16"/>
      <c r="F181" s="16"/>
      <c r="G181" s="4" t="str">
        <f aca="false">IF(OR(E181="",F181=""),"",F181-E181)</f>
        <v/>
      </c>
      <c r="H181" s="4" t="str">
        <f aca="false">IF(G181="","",IF(ABS(G181)&lt;=5,"Yes","No"))</f>
        <v/>
      </c>
      <c r="I181" s="16"/>
      <c r="J181" s="16"/>
      <c r="K181" s="16"/>
    </row>
    <row r="182" customFormat="false" ht="15" hidden="false" customHeight="false" outlineLevel="0" collapsed="false">
      <c r="A182" s="16"/>
      <c r="B182" s="16"/>
      <c r="C182" s="16"/>
      <c r="D182" s="16"/>
      <c r="E182" s="16"/>
      <c r="F182" s="16"/>
      <c r="G182" s="4" t="str">
        <f aca="false">IF(OR(E182="",F182=""),"",F182-E182)</f>
        <v/>
      </c>
      <c r="H182" s="4" t="str">
        <f aca="false">IF(G182="","",IF(ABS(G182)&lt;=5,"Yes","No"))</f>
        <v/>
      </c>
      <c r="I182" s="16"/>
      <c r="J182" s="16"/>
      <c r="K182" s="16"/>
    </row>
    <row r="183" customFormat="false" ht="15" hidden="false" customHeight="false" outlineLevel="0" collapsed="false">
      <c r="A183" s="16"/>
      <c r="B183" s="16"/>
      <c r="C183" s="16"/>
      <c r="D183" s="16"/>
      <c r="E183" s="16"/>
      <c r="F183" s="16"/>
      <c r="G183" s="4" t="str">
        <f aca="false">IF(OR(E183="",F183=""),"",F183-E183)</f>
        <v/>
      </c>
      <c r="H183" s="4" t="str">
        <f aca="false">IF(G183="","",IF(ABS(G183)&lt;=5,"Yes","No"))</f>
        <v/>
      </c>
      <c r="I183" s="16"/>
      <c r="J183" s="16"/>
      <c r="K183" s="16"/>
    </row>
    <row r="184" customFormat="false" ht="15" hidden="false" customHeight="false" outlineLevel="0" collapsed="false">
      <c r="A184" s="16"/>
      <c r="B184" s="16"/>
      <c r="C184" s="16"/>
      <c r="D184" s="16"/>
      <c r="E184" s="16"/>
      <c r="F184" s="16"/>
      <c r="G184" s="4" t="str">
        <f aca="false">IF(OR(E184="",F184=""),"",F184-E184)</f>
        <v/>
      </c>
      <c r="H184" s="4" t="str">
        <f aca="false">IF(G184="","",IF(ABS(G184)&lt;=5,"Yes","No"))</f>
        <v/>
      </c>
      <c r="I184" s="16"/>
      <c r="J184" s="16"/>
      <c r="K184" s="16"/>
    </row>
    <row r="185" customFormat="false" ht="15" hidden="false" customHeight="false" outlineLevel="0" collapsed="false">
      <c r="A185" s="16"/>
      <c r="B185" s="16"/>
      <c r="C185" s="16"/>
      <c r="D185" s="16"/>
      <c r="E185" s="16"/>
      <c r="F185" s="16"/>
      <c r="G185" s="4" t="str">
        <f aca="false">IF(OR(E185="",F185=""),"",F185-E185)</f>
        <v/>
      </c>
      <c r="H185" s="4" t="str">
        <f aca="false">IF(G185="","",IF(ABS(G185)&lt;=5,"Yes","No"))</f>
        <v/>
      </c>
      <c r="I185" s="16"/>
      <c r="J185" s="16"/>
      <c r="K185" s="16"/>
    </row>
    <row r="186" customFormat="false" ht="15" hidden="false" customHeight="false" outlineLevel="0" collapsed="false">
      <c r="A186" s="16"/>
      <c r="B186" s="16"/>
      <c r="C186" s="16"/>
      <c r="D186" s="16"/>
      <c r="E186" s="16"/>
      <c r="F186" s="16"/>
      <c r="G186" s="4" t="str">
        <f aca="false">IF(OR(E186="",F186=""),"",F186-E186)</f>
        <v/>
      </c>
      <c r="H186" s="4" t="str">
        <f aca="false">IF(G186="","",IF(ABS(G186)&lt;=5,"Yes","No"))</f>
        <v/>
      </c>
      <c r="I186" s="16"/>
      <c r="J186" s="16"/>
      <c r="K186" s="16"/>
    </row>
    <row r="187" customFormat="false" ht="15" hidden="false" customHeight="false" outlineLevel="0" collapsed="false">
      <c r="A187" s="16"/>
      <c r="B187" s="16"/>
      <c r="C187" s="16"/>
      <c r="D187" s="16"/>
      <c r="E187" s="16"/>
      <c r="F187" s="16"/>
      <c r="G187" s="4" t="str">
        <f aca="false">IF(OR(E187="",F187=""),"",F187-E187)</f>
        <v/>
      </c>
      <c r="H187" s="4" t="str">
        <f aca="false">IF(G187="","",IF(ABS(G187)&lt;=5,"Yes","No"))</f>
        <v/>
      </c>
      <c r="I187" s="16"/>
      <c r="J187" s="16"/>
      <c r="K187" s="16"/>
    </row>
    <row r="188" customFormat="false" ht="15" hidden="false" customHeight="false" outlineLevel="0" collapsed="false">
      <c r="A188" s="16"/>
      <c r="B188" s="16"/>
      <c r="C188" s="16"/>
      <c r="D188" s="16"/>
      <c r="E188" s="16"/>
      <c r="F188" s="16"/>
      <c r="G188" s="4" t="str">
        <f aca="false">IF(OR(E188="",F188=""),"",F188-E188)</f>
        <v/>
      </c>
      <c r="H188" s="4" t="str">
        <f aca="false">IF(G188="","",IF(ABS(G188)&lt;=5,"Yes","No"))</f>
        <v/>
      </c>
      <c r="I188" s="16"/>
      <c r="J188" s="16"/>
      <c r="K188" s="16"/>
    </row>
    <row r="189" customFormat="false" ht="15" hidden="false" customHeight="false" outlineLevel="0" collapsed="false">
      <c r="A189" s="16"/>
      <c r="B189" s="16"/>
      <c r="C189" s="16"/>
      <c r="D189" s="16"/>
      <c r="E189" s="16"/>
      <c r="F189" s="16"/>
      <c r="G189" s="4" t="str">
        <f aca="false">IF(OR(E189="",F189=""),"",F189-E189)</f>
        <v/>
      </c>
      <c r="H189" s="4" t="str">
        <f aca="false">IF(G189="","",IF(ABS(G189)&lt;=5,"Yes","No"))</f>
        <v/>
      </c>
      <c r="I189" s="16"/>
      <c r="J189" s="16"/>
      <c r="K189" s="16"/>
    </row>
    <row r="190" customFormat="false" ht="15" hidden="false" customHeight="false" outlineLevel="0" collapsed="false">
      <c r="A190" s="16"/>
      <c r="B190" s="16"/>
      <c r="C190" s="16"/>
      <c r="D190" s="16"/>
      <c r="E190" s="16"/>
      <c r="F190" s="16"/>
      <c r="G190" s="4" t="str">
        <f aca="false">IF(OR(E190="",F190=""),"",F190-E190)</f>
        <v/>
      </c>
      <c r="H190" s="4" t="str">
        <f aca="false">IF(G190="","",IF(ABS(G190)&lt;=5,"Yes","No"))</f>
        <v/>
      </c>
      <c r="I190" s="16"/>
      <c r="J190" s="16"/>
      <c r="K190" s="16"/>
    </row>
    <row r="191" customFormat="false" ht="15" hidden="false" customHeight="false" outlineLevel="0" collapsed="false">
      <c r="A191" s="16"/>
      <c r="B191" s="16"/>
      <c r="C191" s="16"/>
      <c r="D191" s="16"/>
      <c r="E191" s="16"/>
      <c r="F191" s="16"/>
      <c r="G191" s="4" t="str">
        <f aca="false">IF(OR(E191="",F191=""),"",F191-E191)</f>
        <v/>
      </c>
      <c r="H191" s="4" t="str">
        <f aca="false">IF(G191="","",IF(ABS(G191)&lt;=5,"Yes","No"))</f>
        <v/>
      </c>
      <c r="I191" s="16"/>
      <c r="J191" s="16"/>
      <c r="K191" s="16"/>
    </row>
    <row r="192" customFormat="false" ht="15" hidden="false" customHeight="false" outlineLevel="0" collapsed="false">
      <c r="A192" s="16"/>
      <c r="B192" s="16"/>
      <c r="C192" s="16"/>
      <c r="D192" s="16"/>
      <c r="E192" s="16"/>
      <c r="F192" s="16"/>
      <c r="G192" s="4" t="str">
        <f aca="false">IF(OR(E192="",F192=""),"",F192-E192)</f>
        <v/>
      </c>
      <c r="H192" s="4" t="str">
        <f aca="false">IF(G192="","",IF(ABS(G192)&lt;=5,"Yes","No"))</f>
        <v/>
      </c>
      <c r="I192" s="16"/>
      <c r="J192" s="16"/>
      <c r="K192" s="16"/>
    </row>
    <row r="193" customFormat="false" ht="15" hidden="false" customHeight="false" outlineLevel="0" collapsed="false">
      <c r="A193" s="16"/>
      <c r="B193" s="16"/>
      <c r="C193" s="16"/>
      <c r="D193" s="16"/>
      <c r="E193" s="16"/>
      <c r="F193" s="16"/>
      <c r="G193" s="4" t="str">
        <f aca="false">IF(OR(E193="",F193=""),"",F193-E193)</f>
        <v/>
      </c>
      <c r="H193" s="4" t="str">
        <f aca="false">IF(G193="","",IF(ABS(G193)&lt;=5,"Yes","No"))</f>
        <v/>
      </c>
      <c r="I193" s="16"/>
      <c r="J193" s="16"/>
      <c r="K193" s="16"/>
    </row>
    <row r="194" customFormat="false" ht="15" hidden="false" customHeight="false" outlineLevel="0" collapsed="false">
      <c r="A194" s="16"/>
      <c r="B194" s="16"/>
      <c r="C194" s="16"/>
      <c r="D194" s="16"/>
      <c r="E194" s="16"/>
      <c r="F194" s="16"/>
      <c r="G194" s="4" t="str">
        <f aca="false">IF(OR(E194="",F194=""),"",F194-E194)</f>
        <v/>
      </c>
      <c r="H194" s="4" t="str">
        <f aca="false">IF(G194="","",IF(ABS(G194)&lt;=5,"Yes","No"))</f>
        <v/>
      </c>
      <c r="I194" s="16"/>
      <c r="J194" s="16"/>
      <c r="K194" s="16"/>
    </row>
    <row r="195" customFormat="false" ht="15" hidden="false" customHeight="false" outlineLevel="0" collapsed="false">
      <c r="A195" s="16"/>
      <c r="B195" s="16"/>
      <c r="C195" s="16"/>
      <c r="D195" s="16"/>
      <c r="E195" s="16"/>
      <c r="F195" s="16"/>
      <c r="G195" s="4" t="str">
        <f aca="false">IF(OR(E195="",F195=""),"",F195-E195)</f>
        <v/>
      </c>
      <c r="H195" s="4" t="str">
        <f aca="false">IF(G195="","",IF(ABS(G195)&lt;=5,"Yes","No"))</f>
        <v/>
      </c>
      <c r="I195" s="16"/>
      <c r="J195" s="16"/>
      <c r="K195" s="16"/>
    </row>
    <row r="196" customFormat="false" ht="15" hidden="false" customHeight="false" outlineLevel="0" collapsed="false">
      <c r="A196" s="16"/>
      <c r="B196" s="16"/>
      <c r="C196" s="16"/>
      <c r="D196" s="16"/>
      <c r="E196" s="16"/>
      <c r="F196" s="16"/>
      <c r="G196" s="4" t="str">
        <f aca="false">IF(OR(E196="",F196=""),"",F196-E196)</f>
        <v/>
      </c>
      <c r="H196" s="4" t="str">
        <f aca="false">IF(G196="","",IF(ABS(G196)&lt;=5,"Yes","No"))</f>
        <v/>
      </c>
      <c r="I196" s="16"/>
      <c r="J196" s="16"/>
      <c r="K196" s="16"/>
    </row>
    <row r="197" customFormat="false" ht="15" hidden="false" customHeight="false" outlineLevel="0" collapsed="false">
      <c r="A197" s="16"/>
      <c r="B197" s="16"/>
      <c r="C197" s="16"/>
      <c r="D197" s="16"/>
      <c r="E197" s="16"/>
      <c r="F197" s="16"/>
      <c r="G197" s="4" t="str">
        <f aca="false">IF(OR(E197="",F197=""),"",F197-E197)</f>
        <v/>
      </c>
      <c r="H197" s="4" t="str">
        <f aca="false">IF(G197="","",IF(ABS(G197)&lt;=5,"Yes","No"))</f>
        <v/>
      </c>
      <c r="I197" s="16"/>
      <c r="J197" s="16"/>
      <c r="K197" s="16"/>
    </row>
    <row r="198" customFormat="false" ht="15" hidden="false" customHeight="false" outlineLevel="0" collapsed="false">
      <c r="A198" s="16"/>
      <c r="B198" s="16"/>
      <c r="C198" s="16"/>
      <c r="D198" s="16"/>
      <c r="E198" s="16"/>
      <c r="F198" s="16"/>
      <c r="G198" s="4" t="str">
        <f aca="false">IF(OR(E198="",F198=""),"",F198-E198)</f>
        <v/>
      </c>
      <c r="H198" s="4" t="str">
        <f aca="false">IF(G198="","",IF(ABS(G198)&lt;=5,"Yes","No"))</f>
        <v/>
      </c>
      <c r="I198" s="16"/>
      <c r="J198" s="16"/>
      <c r="K198" s="16"/>
    </row>
    <row r="199" customFormat="false" ht="15" hidden="false" customHeight="false" outlineLevel="0" collapsed="false">
      <c r="A199" s="16"/>
      <c r="B199" s="16"/>
      <c r="C199" s="16"/>
      <c r="D199" s="16"/>
      <c r="E199" s="16"/>
      <c r="F199" s="16"/>
      <c r="G199" s="4" t="str">
        <f aca="false">IF(OR(E199="",F199=""),"",F199-E199)</f>
        <v/>
      </c>
      <c r="H199" s="4" t="str">
        <f aca="false">IF(G199="","",IF(ABS(G199)&lt;=5,"Yes","No"))</f>
        <v/>
      </c>
      <c r="I199" s="16"/>
      <c r="J199" s="16"/>
      <c r="K199" s="16"/>
    </row>
    <row r="200" customFormat="false" ht="15" hidden="false" customHeight="false" outlineLevel="0" collapsed="false">
      <c r="A200" s="16"/>
      <c r="B200" s="16"/>
      <c r="C200" s="16"/>
      <c r="D200" s="16"/>
      <c r="E200" s="16"/>
      <c r="F200" s="16"/>
      <c r="G200" s="4" t="str">
        <f aca="false">IF(OR(E200="",F200=""),"",F200-E200)</f>
        <v/>
      </c>
      <c r="H200" s="4" t="str">
        <f aca="false">IF(G200="","",IF(ABS(G200)&lt;=5,"Yes","No"))</f>
        <v/>
      </c>
      <c r="I200" s="16"/>
      <c r="J200" s="16"/>
      <c r="K200" s="16"/>
    </row>
    <row r="201" customFormat="false" ht="15" hidden="false" customHeight="false" outlineLevel="0" collapsed="false">
      <c r="A201" s="16"/>
      <c r="B201" s="16"/>
      <c r="C201" s="16"/>
      <c r="D201" s="16"/>
      <c r="E201" s="16"/>
      <c r="F201" s="16"/>
      <c r="G201" s="4" t="str">
        <f aca="false">IF(OR(E201="",F201=""),"",F201-E201)</f>
        <v/>
      </c>
      <c r="H201" s="4" t="str">
        <f aca="false">IF(G201="","",IF(ABS(G201)&lt;=5,"Yes","No"))</f>
        <v/>
      </c>
      <c r="I201" s="16"/>
      <c r="J201" s="16"/>
      <c r="K201" s="16"/>
    </row>
  </sheetData>
  <dataValidations count="3">
    <dataValidation allowBlank="true" errorStyle="stop" operator="between" showDropDown="false" showErrorMessage="false" showInputMessage="false" sqref="B2:B201" type="list">
      <formula1>"curl,raise,press"</formula1>
      <formula2>0</formula2>
    </dataValidation>
    <dataValidation allowBlank="true" errorStyle="stop" operator="between" showDropDown="false" showErrorMessage="false" showInputMessage="false" sqref="I2:I201" type="list">
      <formula1>"Yes,No,Example"</formula1>
      <formula2>0</formula2>
    </dataValidation>
    <dataValidation allowBlank="true" errorStyle="stop" operator="between" showDropDown="false" showErrorMessage="false" showInputMessage="false" sqref="J2:J20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3" min="3" style="0" width="40"/>
    <col collapsed="false" customWidth="true" hidden="false" outlineLevel="0" max="4" min="4" style="0" width="24"/>
    <col collapsed="false" customWidth="true" hidden="false" outlineLevel="0" max="5" min="5" style="0" width="11"/>
    <col collapsed="false" customWidth="true" hidden="false" outlineLevel="0" max="7" min="6" style="0" width="9"/>
    <col collapsed="false" customWidth="true" hidden="false" outlineLevel="0" max="8" min="8" style="0" width="10"/>
    <col collapsed="false" customWidth="true" hidden="false" outlineLevel="0" max="9" min="9" style="0" width="8"/>
    <col collapsed="false" customWidth="true" hidden="false" outlineLevel="0" max="10" min="10" style="0" width="10"/>
    <col collapsed="false" customWidth="true" hidden="false" outlineLevel="0" max="11" min="11" style="0" width="30"/>
  </cols>
  <sheetData>
    <row r="1" customFormat="false" ht="31.5" hidden="false" customHeight="true" outlineLevel="0" collapsed="false">
      <c r="A1" s="14" t="s">
        <v>78</v>
      </c>
      <c r="B1" s="14" t="s">
        <v>79</v>
      </c>
      <c r="C1" s="14" t="s">
        <v>40</v>
      </c>
      <c r="D1" s="14" t="s">
        <v>80</v>
      </c>
      <c r="E1" s="14" t="s">
        <v>81</v>
      </c>
      <c r="F1" s="14" t="s">
        <v>82</v>
      </c>
      <c r="G1" s="14" t="s">
        <v>46</v>
      </c>
      <c r="H1" s="14" t="s">
        <v>83</v>
      </c>
      <c r="I1" s="14" t="s">
        <v>84</v>
      </c>
      <c r="J1" s="14" t="s">
        <v>50</v>
      </c>
      <c r="K1" s="14" t="s">
        <v>57</v>
      </c>
    </row>
    <row r="2" customFormat="false" ht="15" hidden="false" customHeight="false" outlineLevel="0" collapsed="false">
      <c r="A2" s="15" t="s">
        <v>58</v>
      </c>
      <c r="B2" s="15" t="s">
        <v>61</v>
      </c>
      <c r="C2" s="15" t="s">
        <v>85</v>
      </c>
      <c r="D2" s="15" t="s">
        <v>86</v>
      </c>
      <c r="E2" s="15" t="s">
        <v>77</v>
      </c>
      <c r="F2" s="15" t="n">
        <v>45</v>
      </c>
      <c r="G2" s="15" t="n">
        <v>0</v>
      </c>
      <c r="H2" s="15" t="s">
        <v>77</v>
      </c>
      <c r="I2" s="4" t="str">
        <f aca="false">IF(OR(G2="",H2=""),"",IF(AND(G2=0,H2="No"),"Yes","No"))</f>
        <v>Yes</v>
      </c>
      <c r="J2" s="15" t="s">
        <v>64</v>
      </c>
      <c r="K2" s="15" t="s">
        <v>66</v>
      </c>
    </row>
    <row r="3" customFormat="false" ht="15" hidden="false" customHeight="false" outlineLevel="0" collapsed="false">
      <c r="A3" s="16"/>
      <c r="B3" s="16"/>
      <c r="C3" s="16"/>
      <c r="D3" s="16"/>
      <c r="E3" s="16"/>
      <c r="F3" s="16"/>
      <c r="G3" s="16"/>
      <c r="H3" s="16"/>
      <c r="I3" s="4" t="str">
        <f aca="false">IF(OR(G3="",H3=""),"",IF(AND(G3=0,H3="No"),"Yes","No"))</f>
        <v/>
      </c>
      <c r="J3" s="16"/>
      <c r="K3" s="16"/>
    </row>
    <row r="4" customFormat="false" ht="15" hidden="false" customHeight="false" outlineLevel="0" collapsed="false">
      <c r="A4" s="16"/>
      <c r="B4" s="16"/>
      <c r="C4" s="16"/>
      <c r="D4" s="16"/>
      <c r="E4" s="16"/>
      <c r="F4" s="16"/>
      <c r="G4" s="16"/>
      <c r="H4" s="16"/>
      <c r="I4" s="4" t="str">
        <f aca="false">IF(OR(G4="",H4=""),"",IF(AND(G4=0,H4="No"),"Yes","No"))</f>
        <v/>
      </c>
      <c r="J4" s="16"/>
      <c r="K4" s="16"/>
    </row>
    <row r="5" customFormat="false" ht="15" hidden="false" customHeight="false" outlineLevel="0" collapsed="false">
      <c r="A5" s="16"/>
      <c r="B5" s="16"/>
      <c r="C5" s="16"/>
      <c r="D5" s="16"/>
      <c r="E5" s="16"/>
      <c r="F5" s="16"/>
      <c r="G5" s="16"/>
      <c r="H5" s="16"/>
      <c r="I5" s="4" t="str">
        <f aca="false">IF(OR(G5="",H5=""),"",IF(AND(G5=0,H5="No"),"Yes","No"))</f>
        <v/>
      </c>
      <c r="J5" s="16"/>
      <c r="K5" s="16"/>
    </row>
    <row r="6" customFormat="false" ht="15" hidden="false" customHeight="false" outlineLevel="0" collapsed="false">
      <c r="A6" s="16"/>
      <c r="B6" s="16"/>
      <c r="C6" s="16"/>
      <c r="D6" s="16"/>
      <c r="E6" s="16"/>
      <c r="F6" s="16"/>
      <c r="G6" s="16"/>
      <c r="H6" s="16"/>
      <c r="I6" s="4" t="str">
        <f aca="false">IF(OR(G6="",H6=""),"",IF(AND(G6=0,H6="No"),"Yes","No"))</f>
        <v/>
      </c>
      <c r="J6" s="16"/>
      <c r="K6" s="16"/>
    </row>
    <row r="7" customFormat="false" ht="15" hidden="false" customHeight="false" outlineLevel="0" collapsed="false">
      <c r="A7" s="16"/>
      <c r="B7" s="16"/>
      <c r="C7" s="16"/>
      <c r="D7" s="16"/>
      <c r="E7" s="16"/>
      <c r="F7" s="16"/>
      <c r="G7" s="16"/>
      <c r="H7" s="16"/>
      <c r="I7" s="4" t="str">
        <f aca="false">IF(OR(G7="",H7=""),"",IF(AND(G7=0,H7="No"),"Yes","No"))</f>
        <v/>
      </c>
      <c r="J7" s="16"/>
      <c r="K7" s="16"/>
    </row>
    <row r="8" customFormat="false" ht="15" hidden="false" customHeight="false" outlineLevel="0" collapsed="false">
      <c r="A8" s="16"/>
      <c r="B8" s="16"/>
      <c r="C8" s="16"/>
      <c r="D8" s="16"/>
      <c r="E8" s="16"/>
      <c r="F8" s="16"/>
      <c r="G8" s="16"/>
      <c r="H8" s="16"/>
      <c r="I8" s="4" t="str">
        <f aca="false">IF(OR(G8="",H8=""),"",IF(AND(G8=0,H8="No"),"Yes","No"))</f>
        <v/>
      </c>
      <c r="J8" s="16"/>
      <c r="K8" s="16"/>
    </row>
    <row r="9" customFormat="false" ht="15" hidden="false" customHeight="false" outlineLevel="0" collapsed="false">
      <c r="A9" s="16"/>
      <c r="B9" s="16"/>
      <c r="C9" s="16"/>
      <c r="D9" s="16"/>
      <c r="E9" s="16"/>
      <c r="F9" s="16"/>
      <c r="G9" s="16"/>
      <c r="H9" s="16"/>
      <c r="I9" s="4" t="str">
        <f aca="false">IF(OR(G9="",H9=""),"",IF(AND(G9=0,H9="No"),"Yes","No"))</f>
        <v/>
      </c>
      <c r="J9" s="16"/>
      <c r="K9" s="16"/>
    </row>
    <row r="10" customFormat="false" ht="15" hidden="false" customHeight="false" outlineLevel="0" collapsed="false">
      <c r="A10" s="16"/>
      <c r="B10" s="16"/>
      <c r="C10" s="16"/>
      <c r="D10" s="16"/>
      <c r="E10" s="16"/>
      <c r="F10" s="16"/>
      <c r="G10" s="16"/>
      <c r="H10" s="16"/>
      <c r="I10" s="4" t="str">
        <f aca="false">IF(OR(G10="",H10=""),"",IF(AND(G10=0,H10="No"),"Yes","No"))</f>
        <v/>
      </c>
      <c r="J10" s="16"/>
      <c r="K10" s="16"/>
    </row>
    <row r="11" customFormat="false" ht="15" hidden="false" customHeight="false" outlineLevel="0" collapsed="false">
      <c r="A11" s="16"/>
      <c r="B11" s="16"/>
      <c r="C11" s="16"/>
      <c r="D11" s="16"/>
      <c r="E11" s="16"/>
      <c r="F11" s="16"/>
      <c r="G11" s="16"/>
      <c r="H11" s="16"/>
      <c r="I11" s="4" t="str">
        <f aca="false">IF(OR(G11="",H11=""),"",IF(AND(G11=0,H11="No"),"Yes","No"))</f>
        <v/>
      </c>
      <c r="J11" s="16"/>
      <c r="K11" s="16"/>
    </row>
    <row r="12" customFormat="false" ht="15" hidden="false" customHeight="false" outlineLevel="0" collapsed="false">
      <c r="A12" s="16"/>
      <c r="B12" s="16"/>
      <c r="C12" s="16"/>
      <c r="D12" s="16"/>
      <c r="E12" s="16"/>
      <c r="F12" s="16"/>
      <c r="G12" s="16"/>
      <c r="H12" s="16"/>
      <c r="I12" s="4" t="str">
        <f aca="false">IF(OR(G12="",H12=""),"",IF(AND(G12=0,H12="No"),"Yes","No"))</f>
        <v/>
      </c>
      <c r="J12" s="16"/>
      <c r="K12" s="16"/>
    </row>
    <row r="13" customFormat="false" ht="15" hidden="false" customHeight="false" outlineLevel="0" collapsed="false">
      <c r="A13" s="16"/>
      <c r="B13" s="16"/>
      <c r="C13" s="16"/>
      <c r="D13" s="16"/>
      <c r="E13" s="16"/>
      <c r="F13" s="16"/>
      <c r="G13" s="16"/>
      <c r="H13" s="16"/>
      <c r="I13" s="4" t="str">
        <f aca="false">IF(OR(G13="",H13=""),"",IF(AND(G13=0,H13="No"),"Yes","No"))</f>
        <v/>
      </c>
      <c r="J13" s="16"/>
      <c r="K13" s="16"/>
    </row>
    <row r="14" customFormat="false" ht="15" hidden="false" customHeight="false" outlineLevel="0" collapsed="false">
      <c r="A14" s="16"/>
      <c r="B14" s="16"/>
      <c r="C14" s="16"/>
      <c r="D14" s="16"/>
      <c r="E14" s="16"/>
      <c r="F14" s="16"/>
      <c r="G14" s="16"/>
      <c r="H14" s="16"/>
      <c r="I14" s="4" t="str">
        <f aca="false">IF(OR(G14="",H14=""),"",IF(AND(G14=0,H14="No"),"Yes","No"))</f>
        <v/>
      </c>
      <c r="J14" s="16"/>
      <c r="K14" s="16"/>
    </row>
    <row r="15" customFormat="false" ht="15" hidden="false" customHeight="false" outlineLevel="0" collapsed="false">
      <c r="A15" s="16"/>
      <c r="B15" s="16"/>
      <c r="C15" s="16"/>
      <c r="D15" s="16"/>
      <c r="E15" s="16"/>
      <c r="F15" s="16"/>
      <c r="G15" s="16"/>
      <c r="H15" s="16"/>
      <c r="I15" s="4" t="str">
        <f aca="false">IF(OR(G15="",H15=""),"",IF(AND(G15=0,H15="No"),"Yes","No"))</f>
        <v/>
      </c>
      <c r="J15" s="16"/>
      <c r="K15" s="16"/>
    </row>
    <row r="16" customFormat="false" ht="15" hidden="false" customHeight="false" outlineLevel="0" collapsed="false">
      <c r="A16" s="16"/>
      <c r="B16" s="16"/>
      <c r="C16" s="16"/>
      <c r="D16" s="16"/>
      <c r="E16" s="16"/>
      <c r="F16" s="16"/>
      <c r="G16" s="16"/>
      <c r="H16" s="16"/>
      <c r="I16" s="4" t="str">
        <f aca="false">IF(OR(G16="",H16=""),"",IF(AND(G16=0,H16="No"),"Yes","No"))</f>
        <v/>
      </c>
      <c r="J16" s="16"/>
      <c r="K16" s="16"/>
    </row>
    <row r="17" customFormat="false" ht="15" hidden="false" customHeight="false" outlineLevel="0" collapsed="false">
      <c r="A17" s="16"/>
      <c r="B17" s="16"/>
      <c r="C17" s="16"/>
      <c r="D17" s="16"/>
      <c r="E17" s="16"/>
      <c r="F17" s="16"/>
      <c r="G17" s="16"/>
      <c r="H17" s="16"/>
      <c r="I17" s="4" t="str">
        <f aca="false">IF(OR(G17="",H17=""),"",IF(AND(G17=0,H17="No"),"Yes","No"))</f>
        <v/>
      </c>
      <c r="J17" s="16"/>
      <c r="K17" s="16"/>
    </row>
    <row r="18" customFormat="false" ht="15" hidden="false" customHeight="false" outlineLevel="0" collapsed="false">
      <c r="A18" s="16"/>
      <c r="B18" s="16"/>
      <c r="C18" s="16"/>
      <c r="D18" s="16"/>
      <c r="E18" s="16"/>
      <c r="F18" s="16"/>
      <c r="G18" s="16"/>
      <c r="H18" s="16"/>
      <c r="I18" s="4" t="str">
        <f aca="false">IF(OR(G18="",H18=""),"",IF(AND(G18=0,H18="No"),"Yes","No"))</f>
        <v/>
      </c>
      <c r="J18" s="16"/>
      <c r="K18" s="16"/>
    </row>
    <row r="19" customFormat="false" ht="15" hidden="false" customHeight="false" outlineLevel="0" collapsed="false">
      <c r="A19" s="16"/>
      <c r="B19" s="16"/>
      <c r="C19" s="16"/>
      <c r="D19" s="16"/>
      <c r="E19" s="16"/>
      <c r="F19" s="16"/>
      <c r="G19" s="16"/>
      <c r="H19" s="16"/>
      <c r="I19" s="4" t="str">
        <f aca="false">IF(OR(G19="",H19=""),"",IF(AND(G19=0,H19="No"),"Yes","No"))</f>
        <v/>
      </c>
      <c r="J19" s="16"/>
      <c r="K19" s="16"/>
    </row>
    <row r="20" customFormat="false" ht="15" hidden="false" customHeight="false" outlineLevel="0" collapsed="false">
      <c r="A20" s="16"/>
      <c r="B20" s="16"/>
      <c r="C20" s="16"/>
      <c r="D20" s="16"/>
      <c r="E20" s="16"/>
      <c r="F20" s="16"/>
      <c r="G20" s="16"/>
      <c r="H20" s="16"/>
      <c r="I20" s="4" t="str">
        <f aca="false">IF(OR(G20="",H20=""),"",IF(AND(G20=0,H20="No"),"Yes","No"))</f>
        <v/>
      </c>
      <c r="J20" s="16"/>
      <c r="K20" s="16"/>
    </row>
    <row r="21" customFormat="false" ht="15" hidden="false" customHeight="false" outlineLevel="0" collapsed="false">
      <c r="A21" s="16"/>
      <c r="B21" s="16"/>
      <c r="C21" s="16"/>
      <c r="D21" s="16"/>
      <c r="E21" s="16"/>
      <c r="F21" s="16"/>
      <c r="G21" s="16"/>
      <c r="H21" s="16"/>
      <c r="I21" s="4" t="str">
        <f aca="false">IF(OR(G21="",H21=""),"",IF(AND(G21=0,H21="No"),"Yes","No"))</f>
        <v/>
      </c>
      <c r="J21" s="16"/>
      <c r="K21" s="16"/>
    </row>
    <row r="22" customFormat="false" ht="15" hidden="false" customHeight="false" outlineLevel="0" collapsed="false">
      <c r="A22" s="16"/>
      <c r="B22" s="16"/>
      <c r="C22" s="16"/>
      <c r="D22" s="16"/>
      <c r="E22" s="16"/>
      <c r="F22" s="16"/>
      <c r="G22" s="16"/>
      <c r="H22" s="16"/>
      <c r="I22" s="4" t="str">
        <f aca="false">IF(OR(G22="",H22=""),"",IF(AND(G22=0,H22="No"),"Yes","No"))</f>
        <v/>
      </c>
      <c r="J22" s="16"/>
      <c r="K22" s="16"/>
    </row>
    <row r="23" customFormat="false" ht="15" hidden="false" customHeight="false" outlineLevel="0" collapsed="false">
      <c r="A23" s="16"/>
      <c r="B23" s="16"/>
      <c r="C23" s="16"/>
      <c r="D23" s="16"/>
      <c r="E23" s="16"/>
      <c r="F23" s="16"/>
      <c r="G23" s="16"/>
      <c r="H23" s="16"/>
      <c r="I23" s="4" t="str">
        <f aca="false">IF(OR(G23="",H23=""),"",IF(AND(G23=0,H23="No"),"Yes","No"))</f>
        <v/>
      </c>
      <c r="J23" s="16"/>
      <c r="K23" s="16"/>
    </row>
    <row r="24" customFormat="false" ht="15" hidden="false" customHeight="false" outlineLevel="0" collapsed="false">
      <c r="A24" s="16"/>
      <c r="B24" s="16"/>
      <c r="C24" s="16"/>
      <c r="D24" s="16"/>
      <c r="E24" s="16"/>
      <c r="F24" s="16"/>
      <c r="G24" s="16"/>
      <c r="H24" s="16"/>
      <c r="I24" s="4" t="str">
        <f aca="false">IF(OR(G24="",H24=""),"",IF(AND(G24=0,H24="No"),"Yes","No"))</f>
        <v/>
      </c>
      <c r="J24" s="16"/>
      <c r="K24" s="16"/>
    </row>
    <row r="25" customFormat="false" ht="15" hidden="false" customHeight="false" outlineLevel="0" collapsed="false">
      <c r="A25" s="16"/>
      <c r="B25" s="16"/>
      <c r="C25" s="16"/>
      <c r="D25" s="16"/>
      <c r="E25" s="16"/>
      <c r="F25" s="16"/>
      <c r="G25" s="16"/>
      <c r="H25" s="16"/>
      <c r="I25" s="4" t="str">
        <f aca="false">IF(OR(G25="",H25=""),"",IF(AND(G25=0,H25="No"),"Yes","No"))</f>
        <v/>
      </c>
      <c r="J25" s="16"/>
      <c r="K25" s="16"/>
    </row>
    <row r="26" customFormat="false" ht="15" hidden="false" customHeight="false" outlineLevel="0" collapsed="false">
      <c r="A26" s="16"/>
      <c r="B26" s="16"/>
      <c r="C26" s="16"/>
      <c r="D26" s="16"/>
      <c r="E26" s="16"/>
      <c r="F26" s="16"/>
      <c r="G26" s="16"/>
      <c r="H26" s="16"/>
      <c r="I26" s="4" t="str">
        <f aca="false">IF(OR(G26="",H26=""),"",IF(AND(G26=0,H26="No"),"Yes","No"))</f>
        <v/>
      </c>
      <c r="J26" s="16"/>
      <c r="K26" s="16"/>
    </row>
    <row r="27" customFormat="false" ht="15" hidden="false" customHeight="false" outlineLevel="0" collapsed="false">
      <c r="A27" s="16"/>
      <c r="B27" s="16"/>
      <c r="C27" s="16"/>
      <c r="D27" s="16"/>
      <c r="E27" s="16"/>
      <c r="F27" s="16"/>
      <c r="G27" s="16"/>
      <c r="H27" s="16"/>
      <c r="I27" s="4" t="str">
        <f aca="false">IF(OR(G27="",H27=""),"",IF(AND(G27=0,H27="No"),"Yes","No"))</f>
        <v/>
      </c>
      <c r="J27" s="16"/>
      <c r="K27" s="16"/>
    </row>
    <row r="28" customFormat="false" ht="15" hidden="false" customHeight="false" outlineLevel="0" collapsed="false">
      <c r="A28" s="16"/>
      <c r="B28" s="16"/>
      <c r="C28" s="16"/>
      <c r="D28" s="16"/>
      <c r="E28" s="16"/>
      <c r="F28" s="16"/>
      <c r="G28" s="16"/>
      <c r="H28" s="16"/>
      <c r="I28" s="4" t="str">
        <f aca="false">IF(OR(G28="",H28=""),"",IF(AND(G28=0,H28="No"),"Yes","No"))</f>
        <v/>
      </c>
      <c r="J28" s="16"/>
      <c r="K28" s="16"/>
    </row>
    <row r="29" customFormat="false" ht="15" hidden="false" customHeight="false" outlineLevel="0" collapsed="false">
      <c r="A29" s="16"/>
      <c r="B29" s="16"/>
      <c r="C29" s="16"/>
      <c r="D29" s="16"/>
      <c r="E29" s="16"/>
      <c r="F29" s="16"/>
      <c r="G29" s="16"/>
      <c r="H29" s="16"/>
      <c r="I29" s="4" t="str">
        <f aca="false">IF(OR(G29="",H29=""),"",IF(AND(G29=0,H29="No"),"Yes","No"))</f>
        <v/>
      </c>
      <c r="J29" s="16"/>
      <c r="K29" s="16"/>
    </row>
    <row r="30" customFormat="false" ht="15" hidden="false" customHeight="false" outlineLevel="0" collapsed="false">
      <c r="A30" s="16"/>
      <c r="B30" s="16"/>
      <c r="C30" s="16"/>
      <c r="D30" s="16"/>
      <c r="E30" s="16"/>
      <c r="F30" s="16"/>
      <c r="G30" s="16"/>
      <c r="H30" s="16"/>
      <c r="I30" s="4" t="str">
        <f aca="false">IF(OR(G30="",H30=""),"",IF(AND(G30=0,H30="No"),"Yes","No"))</f>
        <v/>
      </c>
      <c r="J30" s="16"/>
      <c r="K30" s="16"/>
    </row>
    <row r="31" customFormat="false" ht="15" hidden="false" customHeight="false" outlineLevel="0" collapsed="false">
      <c r="A31" s="16"/>
      <c r="B31" s="16"/>
      <c r="C31" s="16"/>
      <c r="D31" s="16"/>
      <c r="E31" s="16"/>
      <c r="F31" s="16"/>
      <c r="G31" s="16"/>
      <c r="H31" s="16"/>
      <c r="I31" s="4" t="str">
        <f aca="false">IF(OR(G31="",H31=""),"",IF(AND(G31=0,H31="No"),"Yes","No"))</f>
        <v/>
      </c>
      <c r="J31" s="16"/>
      <c r="K31" s="16"/>
    </row>
    <row r="32" customFormat="false" ht="15" hidden="false" customHeight="false" outlineLevel="0" collapsed="false">
      <c r="A32" s="16"/>
      <c r="B32" s="16"/>
      <c r="C32" s="16"/>
      <c r="D32" s="16"/>
      <c r="E32" s="16"/>
      <c r="F32" s="16"/>
      <c r="G32" s="16"/>
      <c r="H32" s="16"/>
      <c r="I32" s="4" t="str">
        <f aca="false">IF(OR(G32="",H32=""),"",IF(AND(G32=0,H32="No"),"Yes","No"))</f>
        <v/>
      </c>
      <c r="J32" s="16"/>
      <c r="K32" s="16"/>
    </row>
    <row r="33" customFormat="false" ht="15" hidden="false" customHeight="false" outlineLevel="0" collapsed="false">
      <c r="A33" s="16"/>
      <c r="B33" s="16"/>
      <c r="C33" s="16"/>
      <c r="D33" s="16"/>
      <c r="E33" s="16"/>
      <c r="F33" s="16"/>
      <c r="G33" s="16"/>
      <c r="H33" s="16"/>
      <c r="I33" s="4" t="str">
        <f aca="false">IF(OR(G33="",H33=""),"",IF(AND(G33=0,H33="No"),"Yes","No"))</f>
        <v/>
      </c>
      <c r="J33" s="16"/>
      <c r="K33" s="16"/>
    </row>
    <row r="34" customFormat="false" ht="15" hidden="false" customHeight="false" outlineLevel="0" collapsed="false">
      <c r="A34" s="16"/>
      <c r="B34" s="16"/>
      <c r="C34" s="16"/>
      <c r="D34" s="16"/>
      <c r="E34" s="16"/>
      <c r="F34" s="16"/>
      <c r="G34" s="16"/>
      <c r="H34" s="16"/>
      <c r="I34" s="4" t="str">
        <f aca="false">IF(OR(G34="",H34=""),"",IF(AND(G34=0,H34="No"),"Yes","No"))</f>
        <v/>
      </c>
      <c r="J34" s="16"/>
      <c r="K34" s="16"/>
    </row>
    <row r="35" customFormat="false" ht="15" hidden="false" customHeight="false" outlineLevel="0" collapsed="false">
      <c r="A35" s="16"/>
      <c r="B35" s="16"/>
      <c r="C35" s="16"/>
      <c r="D35" s="16"/>
      <c r="E35" s="16"/>
      <c r="F35" s="16"/>
      <c r="G35" s="16"/>
      <c r="H35" s="16"/>
      <c r="I35" s="4" t="str">
        <f aca="false">IF(OR(G35="",H35=""),"",IF(AND(G35=0,H35="No"),"Yes","No"))</f>
        <v/>
      </c>
      <c r="J35" s="16"/>
      <c r="K35" s="16"/>
    </row>
    <row r="36" customFormat="false" ht="15" hidden="false" customHeight="false" outlineLevel="0" collapsed="false">
      <c r="A36" s="16"/>
      <c r="B36" s="16"/>
      <c r="C36" s="16"/>
      <c r="D36" s="16"/>
      <c r="E36" s="16"/>
      <c r="F36" s="16"/>
      <c r="G36" s="16"/>
      <c r="H36" s="16"/>
      <c r="I36" s="4" t="str">
        <f aca="false">IF(OR(G36="",H36=""),"",IF(AND(G36=0,H36="No"),"Yes","No"))</f>
        <v/>
      </c>
      <c r="J36" s="16"/>
      <c r="K36" s="16"/>
    </row>
    <row r="37" customFormat="false" ht="15" hidden="false" customHeight="false" outlineLevel="0" collapsed="false">
      <c r="A37" s="16"/>
      <c r="B37" s="16"/>
      <c r="C37" s="16"/>
      <c r="D37" s="16"/>
      <c r="E37" s="16"/>
      <c r="F37" s="16"/>
      <c r="G37" s="16"/>
      <c r="H37" s="16"/>
      <c r="I37" s="4" t="str">
        <f aca="false">IF(OR(G37="",H37=""),"",IF(AND(G37=0,H37="No"),"Yes","No"))</f>
        <v/>
      </c>
      <c r="J37" s="16"/>
      <c r="K37" s="16"/>
    </row>
    <row r="38" customFormat="false" ht="15" hidden="false" customHeight="false" outlineLevel="0" collapsed="false">
      <c r="A38" s="16"/>
      <c r="B38" s="16"/>
      <c r="C38" s="16"/>
      <c r="D38" s="16"/>
      <c r="E38" s="16"/>
      <c r="F38" s="16"/>
      <c r="G38" s="16"/>
      <c r="H38" s="16"/>
      <c r="I38" s="4" t="str">
        <f aca="false">IF(OR(G38="",H38=""),"",IF(AND(G38=0,H38="No"),"Yes","No"))</f>
        <v/>
      </c>
      <c r="J38" s="16"/>
      <c r="K38" s="16"/>
    </row>
    <row r="39" customFormat="false" ht="15" hidden="false" customHeight="false" outlineLevel="0" collapsed="false">
      <c r="A39" s="16"/>
      <c r="B39" s="16"/>
      <c r="C39" s="16"/>
      <c r="D39" s="16"/>
      <c r="E39" s="16"/>
      <c r="F39" s="16"/>
      <c r="G39" s="16"/>
      <c r="H39" s="16"/>
      <c r="I39" s="4" t="str">
        <f aca="false">IF(OR(G39="",H39=""),"",IF(AND(G39=0,H39="No"),"Yes","No"))</f>
        <v/>
      </c>
      <c r="J39" s="16"/>
      <c r="K39" s="16"/>
    </row>
    <row r="40" customFormat="false" ht="15" hidden="false" customHeight="false" outlineLevel="0" collapsed="false">
      <c r="A40" s="16"/>
      <c r="B40" s="16"/>
      <c r="C40" s="16"/>
      <c r="D40" s="16"/>
      <c r="E40" s="16"/>
      <c r="F40" s="16"/>
      <c r="G40" s="16"/>
      <c r="H40" s="16"/>
      <c r="I40" s="4" t="str">
        <f aca="false">IF(OR(G40="",H40=""),"",IF(AND(G40=0,H40="No"),"Yes","No"))</f>
        <v/>
      </c>
      <c r="J40" s="16"/>
      <c r="K40" s="16"/>
    </row>
    <row r="41" customFormat="false" ht="15" hidden="false" customHeight="false" outlineLevel="0" collapsed="false">
      <c r="A41" s="16"/>
      <c r="B41" s="16"/>
      <c r="C41" s="16"/>
      <c r="D41" s="16"/>
      <c r="E41" s="16"/>
      <c r="F41" s="16"/>
      <c r="G41" s="16"/>
      <c r="H41" s="16"/>
      <c r="I41" s="4" t="str">
        <f aca="false">IF(OR(G41="",H41=""),"",IF(AND(G41=0,H41="No"),"Yes","No"))</f>
        <v/>
      </c>
      <c r="J41" s="16"/>
      <c r="K41" s="16"/>
    </row>
    <row r="42" customFormat="false" ht="15" hidden="false" customHeight="false" outlineLevel="0" collapsed="false">
      <c r="A42" s="16"/>
      <c r="B42" s="16"/>
      <c r="C42" s="16"/>
      <c r="D42" s="16"/>
      <c r="E42" s="16"/>
      <c r="F42" s="16"/>
      <c r="G42" s="16"/>
      <c r="H42" s="16"/>
      <c r="I42" s="4" t="str">
        <f aca="false">IF(OR(G42="",H42=""),"",IF(AND(G42=0,H42="No"),"Yes","No"))</f>
        <v/>
      </c>
      <c r="J42" s="16"/>
      <c r="K42" s="16"/>
    </row>
    <row r="43" customFormat="false" ht="15" hidden="false" customHeight="false" outlineLevel="0" collapsed="false">
      <c r="A43" s="16"/>
      <c r="B43" s="16"/>
      <c r="C43" s="16"/>
      <c r="D43" s="16"/>
      <c r="E43" s="16"/>
      <c r="F43" s="16"/>
      <c r="G43" s="16"/>
      <c r="H43" s="16"/>
      <c r="I43" s="4" t="str">
        <f aca="false">IF(OR(G43="",H43=""),"",IF(AND(G43=0,H43="No"),"Yes","No"))</f>
        <v/>
      </c>
      <c r="J43" s="16"/>
      <c r="K43" s="16"/>
    </row>
    <row r="44" customFormat="false" ht="15" hidden="false" customHeight="false" outlineLevel="0" collapsed="false">
      <c r="A44" s="16"/>
      <c r="B44" s="16"/>
      <c r="C44" s="16"/>
      <c r="D44" s="16"/>
      <c r="E44" s="16"/>
      <c r="F44" s="16"/>
      <c r="G44" s="16"/>
      <c r="H44" s="16"/>
      <c r="I44" s="4" t="str">
        <f aca="false">IF(OR(G44="",H44=""),"",IF(AND(G44=0,H44="No"),"Yes","No"))</f>
        <v/>
      </c>
      <c r="J44" s="16"/>
      <c r="K44" s="16"/>
    </row>
    <row r="45" customFormat="false" ht="15" hidden="false" customHeight="false" outlineLevel="0" collapsed="false">
      <c r="A45" s="16"/>
      <c r="B45" s="16"/>
      <c r="C45" s="16"/>
      <c r="D45" s="16"/>
      <c r="E45" s="16"/>
      <c r="F45" s="16"/>
      <c r="G45" s="16"/>
      <c r="H45" s="16"/>
      <c r="I45" s="4" t="str">
        <f aca="false">IF(OR(G45="",H45=""),"",IF(AND(G45=0,H45="No"),"Yes","No"))</f>
        <v/>
      </c>
      <c r="J45" s="16"/>
      <c r="K45" s="16"/>
    </row>
    <row r="46" customFormat="false" ht="15" hidden="false" customHeight="false" outlineLevel="0" collapsed="false">
      <c r="A46" s="16"/>
      <c r="B46" s="16"/>
      <c r="C46" s="16"/>
      <c r="D46" s="16"/>
      <c r="E46" s="16"/>
      <c r="F46" s="16"/>
      <c r="G46" s="16"/>
      <c r="H46" s="16"/>
      <c r="I46" s="4" t="str">
        <f aca="false">IF(OR(G46="",H46=""),"",IF(AND(G46=0,H46="No"),"Yes","No"))</f>
        <v/>
      </c>
      <c r="J46" s="16"/>
      <c r="K46" s="16"/>
    </row>
    <row r="47" customFormat="false" ht="15" hidden="false" customHeight="false" outlineLevel="0" collapsed="false">
      <c r="A47" s="16"/>
      <c r="B47" s="16"/>
      <c r="C47" s="16"/>
      <c r="D47" s="16"/>
      <c r="E47" s="16"/>
      <c r="F47" s="16"/>
      <c r="G47" s="16"/>
      <c r="H47" s="16"/>
      <c r="I47" s="4" t="str">
        <f aca="false">IF(OR(G47="",H47=""),"",IF(AND(G47=0,H47="No"),"Yes","No"))</f>
        <v/>
      </c>
      <c r="J47" s="16"/>
      <c r="K47" s="16"/>
    </row>
    <row r="48" customFormat="false" ht="15" hidden="false" customHeight="false" outlineLevel="0" collapsed="false">
      <c r="A48" s="16"/>
      <c r="B48" s="16"/>
      <c r="C48" s="16"/>
      <c r="D48" s="16"/>
      <c r="E48" s="16"/>
      <c r="F48" s="16"/>
      <c r="G48" s="16"/>
      <c r="H48" s="16"/>
      <c r="I48" s="4" t="str">
        <f aca="false">IF(OR(G48="",H48=""),"",IF(AND(G48=0,H48="No"),"Yes","No"))</f>
        <v/>
      </c>
      <c r="J48" s="16"/>
      <c r="K48" s="16"/>
    </row>
    <row r="49" customFormat="false" ht="15" hidden="false" customHeight="false" outlineLevel="0" collapsed="false">
      <c r="A49" s="16"/>
      <c r="B49" s="16"/>
      <c r="C49" s="16"/>
      <c r="D49" s="16"/>
      <c r="E49" s="16"/>
      <c r="F49" s="16"/>
      <c r="G49" s="16"/>
      <c r="H49" s="16"/>
      <c r="I49" s="4" t="str">
        <f aca="false">IF(OR(G49="",H49=""),"",IF(AND(G49=0,H49="No"),"Yes","No"))</f>
        <v/>
      </c>
      <c r="J49" s="16"/>
      <c r="K49" s="16"/>
    </row>
    <row r="50" customFormat="false" ht="15" hidden="false" customHeight="false" outlineLevel="0" collapsed="false">
      <c r="A50" s="16"/>
      <c r="B50" s="16"/>
      <c r="C50" s="16"/>
      <c r="D50" s="16"/>
      <c r="E50" s="16"/>
      <c r="F50" s="16"/>
      <c r="G50" s="16"/>
      <c r="H50" s="16"/>
      <c r="I50" s="4" t="str">
        <f aca="false">IF(OR(G50="",H50=""),"",IF(AND(G50=0,H50="No"),"Yes","No"))</f>
        <v/>
      </c>
      <c r="J50" s="16"/>
      <c r="K50" s="16"/>
    </row>
    <row r="51" customFormat="false" ht="15" hidden="false" customHeight="false" outlineLevel="0" collapsed="false">
      <c r="A51" s="16"/>
      <c r="B51" s="16"/>
      <c r="C51" s="16"/>
      <c r="D51" s="16"/>
      <c r="E51" s="16"/>
      <c r="F51" s="16"/>
      <c r="G51" s="16"/>
      <c r="H51" s="16"/>
      <c r="I51" s="4" t="str">
        <f aca="false">IF(OR(G51="",H51=""),"",IF(AND(G51=0,H51="No"),"Yes","No"))</f>
        <v/>
      </c>
      <c r="J51" s="16"/>
      <c r="K51" s="16"/>
    </row>
    <row r="52" customFormat="false" ht="15" hidden="false" customHeight="false" outlineLevel="0" collapsed="false">
      <c r="A52" s="16"/>
      <c r="B52" s="16"/>
      <c r="C52" s="16"/>
      <c r="D52" s="16"/>
      <c r="E52" s="16"/>
      <c r="F52" s="16"/>
      <c r="G52" s="16"/>
      <c r="H52" s="16"/>
      <c r="I52" s="4" t="str">
        <f aca="false">IF(OR(G52="",H52=""),"",IF(AND(G52=0,H52="No"),"Yes","No"))</f>
        <v/>
      </c>
      <c r="J52" s="16"/>
      <c r="K52" s="16"/>
    </row>
    <row r="53" customFormat="false" ht="15" hidden="false" customHeight="false" outlineLevel="0" collapsed="false">
      <c r="A53" s="16"/>
      <c r="B53" s="16"/>
      <c r="C53" s="16"/>
      <c r="D53" s="16"/>
      <c r="E53" s="16"/>
      <c r="F53" s="16"/>
      <c r="G53" s="16"/>
      <c r="H53" s="16"/>
      <c r="I53" s="4" t="str">
        <f aca="false">IF(OR(G53="",H53=""),"",IF(AND(G53=0,H53="No"),"Yes","No"))</f>
        <v/>
      </c>
      <c r="J53" s="16"/>
      <c r="K53" s="16"/>
    </row>
    <row r="54" customFormat="false" ht="15" hidden="false" customHeight="false" outlineLevel="0" collapsed="false">
      <c r="A54" s="16"/>
      <c r="B54" s="16"/>
      <c r="C54" s="16"/>
      <c r="D54" s="16"/>
      <c r="E54" s="16"/>
      <c r="F54" s="16"/>
      <c r="G54" s="16"/>
      <c r="H54" s="16"/>
      <c r="I54" s="4" t="str">
        <f aca="false">IF(OR(G54="",H54=""),"",IF(AND(G54=0,H54="No"),"Yes","No"))</f>
        <v/>
      </c>
      <c r="J54" s="16"/>
      <c r="K54" s="16"/>
    </row>
    <row r="55" customFormat="false" ht="15" hidden="false" customHeight="false" outlineLevel="0" collapsed="false">
      <c r="A55" s="16"/>
      <c r="B55" s="16"/>
      <c r="C55" s="16"/>
      <c r="D55" s="16"/>
      <c r="E55" s="16"/>
      <c r="F55" s="16"/>
      <c r="G55" s="16"/>
      <c r="H55" s="16"/>
      <c r="I55" s="4" t="str">
        <f aca="false">IF(OR(G55="",H55=""),"",IF(AND(G55=0,H55="No"),"Yes","No"))</f>
        <v/>
      </c>
      <c r="J55" s="16"/>
      <c r="K55" s="16"/>
    </row>
    <row r="56" customFormat="false" ht="15" hidden="false" customHeight="false" outlineLevel="0" collapsed="false">
      <c r="A56" s="16"/>
      <c r="B56" s="16"/>
      <c r="C56" s="16"/>
      <c r="D56" s="16"/>
      <c r="E56" s="16"/>
      <c r="F56" s="16"/>
      <c r="G56" s="16"/>
      <c r="H56" s="16"/>
      <c r="I56" s="4" t="str">
        <f aca="false">IF(OR(G56="",H56=""),"",IF(AND(G56=0,H56="No"),"Yes","No"))</f>
        <v/>
      </c>
      <c r="J56" s="16"/>
      <c r="K56" s="16"/>
    </row>
    <row r="57" customFormat="false" ht="15" hidden="false" customHeight="false" outlineLevel="0" collapsed="false">
      <c r="A57" s="16"/>
      <c r="B57" s="16"/>
      <c r="C57" s="16"/>
      <c r="D57" s="16"/>
      <c r="E57" s="16"/>
      <c r="F57" s="16"/>
      <c r="G57" s="16"/>
      <c r="H57" s="16"/>
      <c r="I57" s="4" t="str">
        <f aca="false">IF(OR(G57="",H57=""),"",IF(AND(G57=0,H57="No"),"Yes","No"))</f>
        <v/>
      </c>
      <c r="J57" s="16"/>
      <c r="K57" s="16"/>
    </row>
    <row r="58" customFormat="false" ht="15" hidden="false" customHeight="false" outlineLevel="0" collapsed="false">
      <c r="A58" s="16"/>
      <c r="B58" s="16"/>
      <c r="C58" s="16"/>
      <c r="D58" s="16"/>
      <c r="E58" s="16"/>
      <c r="F58" s="16"/>
      <c r="G58" s="16"/>
      <c r="H58" s="16"/>
      <c r="I58" s="4" t="str">
        <f aca="false">IF(OR(G58="",H58=""),"",IF(AND(G58=0,H58="No"),"Yes","No"))</f>
        <v/>
      </c>
      <c r="J58" s="16"/>
      <c r="K58" s="16"/>
    </row>
    <row r="59" customFormat="false" ht="15" hidden="false" customHeight="false" outlineLevel="0" collapsed="false">
      <c r="A59" s="16"/>
      <c r="B59" s="16"/>
      <c r="C59" s="16"/>
      <c r="D59" s="16"/>
      <c r="E59" s="16"/>
      <c r="F59" s="16"/>
      <c r="G59" s="16"/>
      <c r="H59" s="16"/>
      <c r="I59" s="4" t="str">
        <f aca="false">IF(OR(G59="",H59=""),"",IF(AND(G59=0,H59="No"),"Yes","No"))</f>
        <v/>
      </c>
      <c r="J59" s="16"/>
      <c r="K59" s="16"/>
    </row>
    <row r="60" customFormat="false" ht="15" hidden="false" customHeight="false" outlineLevel="0" collapsed="false">
      <c r="A60" s="16"/>
      <c r="B60" s="16"/>
      <c r="C60" s="16"/>
      <c r="D60" s="16"/>
      <c r="E60" s="16"/>
      <c r="F60" s="16"/>
      <c r="G60" s="16"/>
      <c r="H60" s="16"/>
      <c r="I60" s="4" t="str">
        <f aca="false">IF(OR(G60="",H60=""),"",IF(AND(G60=0,H60="No"),"Yes","No"))</f>
        <v/>
      </c>
      <c r="J60" s="16"/>
      <c r="K60" s="16"/>
    </row>
    <row r="61" customFormat="false" ht="15" hidden="false" customHeight="false" outlineLevel="0" collapsed="false">
      <c r="A61" s="16"/>
      <c r="B61" s="16"/>
      <c r="C61" s="16"/>
      <c r="D61" s="16"/>
      <c r="E61" s="16"/>
      <c r="F61" s="16"/>
      <c r="G61" s="16"/>
      <c r="H61" s="16"/>
      <c r="I61" s="4" t="str">
        <f aca="false">IF(OR(G61="",H61=""),"",IF(AND(G61=0,H61="No"),"Yes","No"))</f>
        <v/>
      </c>
      <c r="J61" s="16"/>
      <c r="K61" s="16"/>
    </row>
    <row r="62" customFormat="false" ht="15" hidden="false" customHeight="false" outlineLevel="0" collapsed="false">
      <c r="A62" s="16"/>
      <c r="B62" s="16"/>
      <c r="C62" s="16"/>
      <c r="D62" s="16"/>
      <c r="E62" s="16"/>
      <c r="F62" s="16"/>
      <c r="G62" s="16"/>
      <c r="H62" s="16"/>
      <c r="I62" s="4" t="str">
        <f aca="false">IF(OR(G62="",H62=""),"",IF(AND(G62=0,H62="No"),"Yes","No"))</f>
        <v/>
      </c>
      <c r="J62" s="16"/>
      <c r="K62" s="16"/>
    </row>
    <row r="63" customFormat="false" ht="15" hidden="false" customHeight="false" outlineLevel="0" collapsed="false">
      <c r="A63" s="16"/>
      <c r="B63" s="16"/>
      <c r="C63" s="16"/>
      <c r="D63" s="16"/>
      <c r="E63" s="16"/>
      <c r="F63" s="16"/>
      <c r="G63" s="16"/>
      <c r="H63" s="16"/>
      <c r="I63" s="4" t="str">
        <f aca="false">IF(OR(G63="",H63=""),"",IF(AND(G63=0,H63="No"),"Yes","No"))</f>
        <v/>
      </c>
      <c r="J63" s="16"/>
      <c r="K63" s="16"/>
    </row>
    <row r="64" customFormat="false" ht="15" hidden="false" customHeight="false" outlineLevel="0" collapsed="false">
      <c r="A64" s="16"/>
      <c r="B64" s="16"/>
      <c r="C64" s="16"/>
      <c r="D64" s="16"/>
      <c r="E64" s="16"/>
      <c r="F64" s="16"/>
      <c r="G64" s="16"/>
      <c r="H64" s="16"/>
      <c r="I64" s="4" t="str">
        <f aca="false">IF(OR(G64="",H64=""),"",IF(AND(G64=0,H64="No"),"Yes","No"))</f>
        <v/>
      </c>
      <c r="J64" s="16"/>
      <c r="K64" s="16"/>
    </row>
    <row r="65" customFormat="false" ht="15" hidden="false" customHeight="false" outlineLevel="0" collapsed="false">
      <c r="A65" s="16"/>
      <c r="B65" s="16"/>
      <c r="C65" s="16"/>
      <c r="D65" s="16"/>
      <c r="E65" s="16"/>
      <c r="F65" s="16"/>
      <c r="G65" s="16"/>
      <c r="H65" s="16"/>
      <c r="I65" s="4" t="str">
        <f aca="false">IF(OR(G65="",H65=""),"",IF(AND(G65=0,H65="No"),"Yes","No"))</f>
        <v/>
      </c>
      <c r="J65" s="16"/>
      <c r="K65" s="16"/>
    </row>
    <row r="66" customFormat="false" ht="15" hidden="false" customHeight="false" outlineLevel="0" collapsed="false">
      <c r="A66" s="16"/>
      <c r="B66" s="16"/>
      <c r="C66" s="16"/>
      <c r="D66" s="16"/>
      <c r="E66" s="16"/>
      <c r="F66" s="16"/>
      <c r="G66" s="16"/>
      <c r="H66" s="16"/>
      <c r="I66" s="4" t="str">
        <f aca="false">IF(OR(G66="",H66=""),"",IF(AND(G66=0,H66="No"),"Yes","No"))</f>
        <v/>
      </c>
      <c r="J66" s="16"/>
      <c r="K66" s="16"/>
    </row>
    <row r="67" customFormat="false" ht="15" hidden="false" customHeight="false" outlineLevel="0" collapsed="false">
      <c r="A67" s="16"/>
      <c r="B67" s="16"/>
      <c r="C67" s="16"/>
      <c r="D67" s="16"/>
      <c r="E67" s="16"/>
      <c r="F67" s="16"/>
      <c r="G67" s="16"/>
      <c r="H67" s="16"/>
      <c r="I67" s="4" t="str">
        <f aca="false">IF(OR(G67="",H67=""),"",IF(AND(G67=0,H67="No"),"Yes","No"))</f>
        <v/>
      </c>
      <c r="J67" s="16"/>
      <c r="K67" s="16"/>
    </row>
    <row r="68" customFormat="false" ht="15" hidden="false" customHeight="false" outlineLevel="0" collapsed="false">
      <c r="A68" s="16"/>
      <c r="B68" s="16"/>
      <c r="C68" s="16"/>
      <c r="D68" s="16"/>
      <c r="E68" s="16"/>
      <c r="F68" s="16"/>
      <c r="G68" s="16"/>
      <c r="H68" s="16"/>
      <c r="I68" s="4" t="str">
        <f aca="false">IF(OR(G68="",H68=""),"",IF(AND(G68=0,H68="No"),"Yes","No"))</f>
        <v/>
      </c>
      <c r="J68" s="16"/>
      <c r="K68" s="16"/>
    </row>
    <row r="69" customFormat="false" ht="15" hidden="false" customHeight="false" outlineLevel="0" collapsed="false">
      <c r="A69" s="16"/>
      <c r="B69" s="16"/>
      <c r="C69" s="16"/>
      <c r="D69" s="16"/>
      <c r="E69" s="16"/>
      <c r="F69" s="16"/>
      <c r="G69" s="16"/>
      <c r="H69" s="16"/>
      <c r="I69" s="4" t="str">
        <f aca="false">IF(OR(G69="",H69=""),"",IF(AND(G69=0,H69="No"),"Yes","No"))</f>
        <v/>
      </c>
      <c r="J69" s="16"/>
      <c r="K69" s="16"/>
    </row>
    <row r="70" customFormat="false" ht="15" hidden="false" customHeight="false" outlineLevel="0" collapsed="false">
      <c r="A70" s="16"/>
      <c r="B70" s="16"/>
      <c r="C70" s="16"/>
      <c r="D70" s="16"/>
      <c r="E70" s="16"/>
      <c r="F70" s="16"/>
      <c r="G70" s="16"/>
      <c r="H70" s="16"/>
      <c r="I70" s="4" t="str">
        <f aca="false">IF(OR(G70="",H70=""),"",IF(AND(G70=0,H70="No"),"Yes","No"))</f>
        <v/>
      </c>
      <c r="J70" s="16"/>
      <c r="K70" s="16"/>
    </row>
    <row r="71" customFormat="false" ht="15" hidden="false" customHeight="false" outlineLevel="0" collapsed="false">
      <c r="A71" s="16"/>
      <c r="B71" s="16"/>
      <c r="C71" s="16"/>
      <c r="D71" s="16"/>
      <c r="E71" s="16"/>
      <c r="F71" s="16"/>
      <c r="G71" s="16"/>
      <c r="H71" s="16"/>
      <c r="I71" s="4" t="str">
        <f aca="false">IF(OR(G71="",H71=""),"",IF(AND(G71=0,H71="No"),"Yes","No"))</f>
        <v/>
      </c>
      <c r="J71" s="16"/>
      <c r="K71" s="16"/>
    </row>
    <row r="72" customFormat="false" ht="15" hidden="false" customHeight="false" outlineLevel="0" collapsed="false">
      <c r="A72" s="16"/>
      <c r="B72" s="16"/>
      <c r="C72" s="16"/>
      <c r="D72" s="16"/>
      <c r="E72" s="16"/>
      <c r="F72" s="16"/>
      <c r="G72" s="16"/>
      <c r="H72" s="16"/>
      <c r="I72" s="4" t="str">
        <f aca="false">IF(OR(G72="",H72=""),"",IF(AND(G72=0,H72="No"),"Yes","No"))</f>
        <v/>
      </c>
      <c r="J72" s="16"/>
      <c r="K72" s="16"/>
    </row>
    <row r="73" customFormat="false" ht="15" hidden="false" customHeight="false" outlineLevel="0" collapsed="false">
      <c r="A73" s="16"/>
      <c r="B73" s="16"/>
      <c r="C73" s="16"/>
      <c r="D73" s="16"/>
      <c r="E73" s="16"/>
      <c r="F73" s="16"/>
      <c r="G73" s="16"/>
      <c r="H73" s="16"/>
      <c r="I73" s="4" t="str">
        <f aca="false">IF(OR(G73="",H73=""),"",IF(AND(G73=0,H73="No"),"Yes","No"))</f>
        <v/>
      </c>
      <c r="J73" s="16"/>
      <c r="K73" s="16"/>
    </row>
    <row r="74" customFormat="false" ht="15" hidden="false" customHeight="false" outlineLevel="0" collapsed="false">
      <c r="A74" s="16"/>
      <c r="B74" s="16"/>
      <c r="C74" s="16"/>
      <c r="D74" s="16"/>
      <c r="E74" s="16"/>
      <c r="F74" s="16"/>
      <c r="G74" s="16"/>
      <c r="H74" s="16"/>
      <c r="I74" s="4" t="str">
        <f aca="false">IF(OR(G74="",H74=""),"",IF(AND(G74=0,H74="No"),"Yes","No"))</f>
        <v/>
      </c>
      <c r="J74" s="16"/>
      <c r="K74" s="16"/>
    </row>
    <row r="75" customFormat="false" ht="15" hidden="false" customHeight="false" outlineLevel="0" collapsed="false">
      <c r="A75" s="16"/>
      <c r="B75" s="16"/>
      <c r="C75" s="16"/>
      <c r="D75" s="16"/>
      <c r="E75" s="16"/>
      <c r="F75" s="16"/>
      <c r="G75" s="16"/>
      <c r="H75" s="16"/>
      <c r="I75" s="4" t="str">
        <f aca="false">IF(OR(G75="",H75=""),"",IF(AND(G75=0,H75="No"),"Yes","No"))</f>
        <v/>
      </c>
      <c r="J75" s="16"/>
      <c r="K75" s="16"/>
    </row>
    <row r="76" customFormat="false" ht="15" hidden="false" customHeight="false" outlineLevel="0" collapsed="false">
      <c r="A76" s="16"/>
      <c r="B76" s="16"/>
      <c r="C76" s="16"/>
      <c r="D76" s="16"/>
      <c r="E76" s="16"/>
      <c r="F76" s="16"/>
      <c r="G76" s="16"/>
      <c r="H76" s="16"/>
      <c r="I76" s="4" t="str">
        <f aca="false">IF(OR(G76="",H76=""),"",IF(AND(G76=0,H76="No"),"Yes","No"))</f>
        <v/>
      </c>
      <c r="J76" s="16"/>
      <c r="K76" s="16"/>
    </row>
    <row r="77" customFormat="false" ht="15" hidden="false" customHeight="false" outlineLevel="0" collapsed="false">
      <c r="A77" s="16"/>
      <c r="B77" s="16"/>
      <c r="C77" s="16"/>
      <c r="D77" s="16"/>
      <c r="E77" s="16"/>
      <c r="F77" s="16"/>
      <c r="G77" s="16"/>
      <c r="H77" s="16"/>
      <c r="I77" s="4" t="str">
        <f aca="false">IF(OR(G77="",H77=""),"",IF(AND(G77=0,H77="No"),"Yes","No"))</f>
        <v/>
      </c>
      <c r="J77" s="16"/>
      <c r="K77" s="16"/>
    </row>
    <row r="78" customFormat="false" ht="15" hidden="false" customHeight="false" outlineLevel="0" collapsed="false">
      <c r="A78" s="16"/>
      <c r="B78" s="16"/>
      <c r="C78" s="16"/>
      <c r="D78" s="16"/>
      <c r="E78" s="16"/>
      <c r="F78" s="16"/>
      <c r="G78" s="16"/>
      <c r="H78" s="16"/>
      <c r="I78" s="4" t="str">
        <f aca="false">IF(OR(G78="",H78=""),"",IF(AND(G78=0,H78="No"),"Yes","No"))</f>
        <v/>
      </c>
      <c r="J78" s="16"/>
      <c r="K78" s="16"/>
    </row>
    <row r="79" customFormat="false" ht="15" hidden="false" customHeight="false" outlineLevel="0" collapsed="false">
      <c r="A79" s="16"/>
      <c r="B79" s="16"/>
      <c r="C79" s="16"/>
      <c r="D79" s="16"/>
      <c r="E79" s="16"/>
      <c r="F79" s="16"/>
      <c r="G79" s="16"/>
      <c r="H79" s="16"/>
      <c r="I79" s="4" t="str">
        <f aca="false">IF(OR(G79="",H79=""),"",IF(AND(G79=0,H79="No"),"Yes","No"))</f>
        <v/>
      </c>
      <c r="J79" s="16"/>
      <c r="K79" s="16"/>
    </row>
    <row r="80" customFormat="false" ht="15" hidden="false" customHeight="false" outlineLevel="0" collapsed="false">
      <c r="A80" s="16"/>
      <c r="B80" s="16"/>
      <c r="C80" s="16"/>
      <c r="D80" s="16"/>
      <c r="E80" s="16"/>
      <c r="F80" s="16"/>
      <c r="G80" s="16"/>
      <c r="H80" s="16"/>
      <c r="I80" s="4" t="str">
        <f aca="false">IF(OR(G80="",H80=""),"",IF(AND(G80=0,H80="No"),"Yes","No"))</f>
        <v/>
      </c>
      <c r="J80" s="16"/>
      <c r="K80" s="16"/>
    </row>
    <row r="81" customFormat="false" ht="15" hidden="false" customHeight="false" outlineLevel="0" collapsed="false">
      <c r="A81" s="16"/>
      <c r="B81" s="16"/>
      <c r="C81" s="16"/>
      <c r="D81" s="16"/>
      <c r="E81" s="16"/>
      <c r="F81" s="16"/>
      <c r="G81" s="16"/>
      <c r="H81" s="16"/>
      <c r="I81" s="4" t="str">
        <f aca="false">IF(OR(G81="",H81=""),"",IF(AND(G81=0,H81="No"),"Yes","No"))</f>
        <v/>
      </c>
      <c r="J81" s="16"/>
      <c r="K81" s="16"/>
    </row>
    <row r="82" customFormat="false" ht="15" hidden="false" customHeight="false" outlineLevel="0" collapsed="false">
      <c r="A82" s="16"/>
      <c r="B82" s="16"/>
      <c r="C82" s="16"/>
      <c r="D82" s="16"/>
      <c r="E82" s="16"/>
      <c r="F82" s="16"/>
      <c r="G82" s="16"/>
      <c r="H82" s="16"/>
      <c r="I82" s="4" t="str">
        <f aca="false">IF(OR(G82="",H82=""),"",IF(AND(G82=0,H82="No"),"Yes","No"))</f>
        <v/>
      </c>
      <c r="J82" s="16"/>
      <c r="K82" s="16"/>
    </row>
    <row r="83" customFormat="false" ht="15" hidden="false" customHeight="false" outlineLevel="0" collapsed="false">
      <c r="A83" s="16"/>
      <c r="B83" s="16"/>
      <c r="C83" s="16"/>
      <c r="D83" s="16"/>
      <c r="E83" s="16"/>
      <c r="F83" s="16"/>
      <c r="G83" s="16"/>
      <c r="H83" s="16"/>
      <c r="I83" s="4" t="str">
        <f aca="false">IF(OR(G83="",H83=""),"",IF(AND(G83=0,H83="No"),"Yes","No"))</f>
        <v/>
      </c>
      <c r="J83" s="16"/>
      <c r="K83" s="16"/>
    </row>
    <row r="84" customFormat="false" ht="15" hidden="false" customHeight="false" outlineLevel="0" collapsed="false">
      <c r="A84" s="16"/>
      <c r="B84" s="16"/>
      <c r="C84" s="16"/>
      <c r="D84" s="16"/>
      <c r="E84" s="16"/>
      <c r="F84" s="16"/>
      <c r="G84" s="16"/>
      <c r="H84" s="16"/>
      <c r="I84" s="4" t="str">
        <f aca="false">IF(OR(G84="",H84=""),"",IF(AND(G84=0,H84="No"),"Yes","No"))</f>
        <v/>
      </c>
      <c r="J84" s="16"/>
      <c r="K84" s="16"/>
    </row>
    <row r="85" customFormat="false" ht="15" hidden="false" customHeight="false" outlineLevel="0" collapsed="false">
      <c r="A85" s="16"/>
      <c r="B85" s="16"/>
      <c r="C85" s="16"/>
      <c r="D85" s="16"/>
      <c r="E85" s="16"/>
      <c r="F85" s="16"/>
      <c r="G85" s="16"/>
      <c r="H85" s="16"/>
      <c r="I85" s="4" t="str">
        <f aca="false">IF(OR(G85="",H85=""),"",IF(AND(G85=0,H85="No"),"Yes","No"))</f>
        <v/>
      </c>
      <c r="J85" s="16"/>
      <c r="K85" s="16"/>
    </row>
    <row r="86" customFormat="false" ht="15" hidden="false" customHeight="false" outlineLevel="0" collapsed="false">
      <c r="A86" s="16"/>
      <c r="B86" s="16"/>
      <c r="C86" s="16"/>
      <c r="D86" s="16"/>
      <c r="E86" s="16"/>
      <c r="F86" s="16"/>
      <c r="G86" s="16"/>
      <c r="H86" s="16"/>
      <c r="I86" s="4" t="str">
        <f aca="false">IF(OR(G86="",H86=""),"",IF(AND(G86=0,H86="No"),"Yes","No"))</f>
        <v/>
      </c>
      <c r="J86" s="16"/>
      <c r="K86" s="16"/>
    </row>
    <row r="87" customFormat="false" ht="15" hidden="false" customHeight="false" outlineLevel="0" collapsed="false">
      <c r="A87" s="16"/>
      <c r="B87" s="16"/>
      <c r="C87" s="16"/>
      <c r="D87" s="16"/>
      <c r="E87" s="16"/>
      <c r="F87" s="16"/>
      <c r="G87" s="16"/>
      <c r="H87" s="16"/>
      <c r="I87" s="4" t="str">
        <f aca="false">IF(OR(G87="",H87=""),"",IF(AND(G87=0,H87="No"),"Yes","No"))</f>
        <v/>
      </c>
      <c r="J87" s="16"/>
      <c r="K87" s="16"/>
    </row>
    <row r="88" customFormat="false" ht="15" hidden="false" customHeight="false" outlineLevel="0" collapsed="false">
      <c r="A88" s="16"/>
      <c r="B88" s="16"/>
      <c r="C88" s="16"/>
      <c r="D88" s="16"/>
      <c r="E88" s="16"/>
      <c r="F88" s="16"/>
      <c r="G88" s="16"/>
      <c r="H88" s="16"/>
      <c r="I88" s="4" t="str">
        <f aca="false">IF(OR(G88="",H88=""),"",IF(AND(G88=0,H88="No"),"Yes","No"))</f>
        <v/>
      </c>
      <c r="J88" s="16"/>
      <c r="K88" s="16"/>
    </row>
    <row r="89" customFormat="false" ht="15" hidden="false" customHeight="false" outlineLevel="0" collapsed="false">
      <c r="A89" s="16"/>
      <c r="B89" s="16"/>
      <c r="C89" s="16"/>
      <c r="D89" s="16"/>
      <c r="E89" s="16"/>
      <c r="F89" s="16"/>
      <c r="G89" s="16"/>
      <c r="H89" s="16"/>
      <c r="I89" s="4" t="str">
        <f aca="false">IF(OR(G89="",H89=""),"",IF(AND(G89=0,H89="No"),"Yes","No"))</f>
        <v/>
      </c>
      <c r="J89" s="16"/>
      <c r="K89" s="16"/>
    </row>
    <row r="90" customFormat="false" ht="15" hidden="false" customHeight="false" outlineLevel="0" collapsed="false">
      <c r="A90" s="16"/>
      <c r="B90" s="16"/>
      <c r="C90" s="16"/>
      <c r="D90" s="16"/>
      <c r="E90" s="16"/>
      <c r="F90" s="16"/>
      <c r="G90" s="16"/>
      <c r="H90" s="16"/>
      <c r="I90" s="4" t="str">
        <f aca="false">IF(OR(G90="",H90=""),"",IF(AND(G90=0,H90="No"),"Yes","No"))</f>
        <v/>
      </c>
      <c r="J90" s="16"/>
      <c r="K90" s="16"/>
    </row>
    <row r="91" customFormat="false" ht="15" hidden="false" customHeight="false" outlineLevel="0" collapsed="false">
      <c r="A91" s="16"/>
      <c r="B91" s="16"/>
      <c r="C91" s="16"/>
      <c r="D91" s="16"/>
      <c r="E91" s="16"/>
      <c r="F91" s="16"/>
      <c r="G91" s="16"/>
      <c r="H91" s="16"/>
      <c r="I91" s="4" t="str">
        <f aca="false">IF(OR(G91="",H91=""),"",IF(AND(G91=0,H91="No"),"Yes","No"))</f>
        <v/>
      </c>
      <c r="J91" s="16"/>
      <c r="K91" s="16"/>
    </row>
    <row r="92" customFormat="false" ht="15" hidden="false" customHeight="false" outlineLevel="0" collapsed="false">
      <c r="A92" s="16"/>
      <c r="B92" s="16"/>
      <c r="C92" s="16"/>
      <c r="D92" s="16"/>
      <c r="E92" s="16"/>
      <c r="F92" s="16"/>
      <c r="G92" s="16"/>
      <c r="H92" s="16"/>
      <c r="I92" s="4" t="str">
        <f aca="false">IF(OR(G92="",H92=""),"",IF(AND(G92=0,H92="No"),"Yes","No"))</f>
        <v/>
      </c>
      <c r="J92" s="16"/>
      <c r="K92" s="16"/>
    </row>
    <row r="93" customFormat="false" ht="15" hidden="false" customHeight="false" outlineLevel="0" collapsed="false">
      <c r="A93" s="16"/>
      <c r="B93" s="16"/>
      <c r="C93" s="16"/>
      <c r="D93" s="16"/>
      <c r="E93" s="16"/>
      <c r="F93" s="16"/>
      <c r="G93" s="16"/>
      <c r="H93" s="16"/>
      <c r="I93" s="4" t="str">
        <f aca="false">IF(OR(G93="",H93=""),"",IF(AND(G93=0,H93="No"),"Yes","No"))</f>
        <v/>
      </c>
      <c r="J93" s="16"/>
      <c r="K93" s="16"/>
    </row>
    <row r="94" customFormat="false" ht="15" hidden="false" customHeight="false" outlineLevel="0" collapsed="false">
      <c r="A94" s="16"/>
      <c r="B94" s="16"/>
      <c r="C94" s="16"/>
      <c r="D94" s="16"/>
      <c r="E94" s="16"/>
      <c r="F94" s="16"/>
      <c r="G94" s="16"/>
      <c r="H94" s="16"/>
      <c r="I94" s="4" t="str">
        <f aca="false">IF(OR(G94="",H94=""),"",IF(AND(G94=0,H94="No"),"Yes","No"))</f>
        <v/>
      </c>
      <c r="J94" s="16"/>
      <c r="K94" s="16"/>
    </row>
    <row r="95" customFormat="false" ht="15" hidden="false" customHeight="false" outlineLevel="0" collapsed="false">
      <c r="A95" s="16"/>
      <c r="B95" s="16"/>
      <c r="C95" s="16"/>
      <c r="D95" s="16"/>
      <c r="E95" s="16"/>
      <c r="F95" s="16"/>
      <c r="G95" s="16"/>
      <c r="H95" s="16"/>
      <c r="I95" s="4" t="str">
        <f aca="false">IF(OR(G95="",H95=""),"",IF(AND(G95=0,H95="No"),"Yes","No"))</f>
        <v/>
      </c>
      <c r="J95" s="16"/>
      <c r="K95" s="16"/>
    </row>
    <row r="96" customFormat="false" ht="15" hidden="false" customHeight="false" outlineLevel="0" collapsed="false">
      <c r="A96" s="16"/>
      <c r="B96" s="16"/>
      <c r="C96" s="16"/>
      <c r="D96" s="16"/>
      <c r="E96" s="16"/>
      <c r="F96" s="16"/>
      <c r="G96" s="16"/>
      <c r="H96" s="16"/>
      <c r="I96" s="4" t="str">
        <f aca="false">IF(OR(G96="",H96=""),"",IF(AND(G96=0,H96="No"),"Yes","No"))</f>
        <v/>
      </c>
      <c r="J96" s="16"/>
      <c r="K96" s="16"/>
    </row>
    <row r="97" customFormat="false" ht="15" hidden="false" customHeight="false" outlineLevel="0" collapsed="false">
      <c r="A97" s="16"/>
      <c r="B97" s="16"/>
      <c r="C97" s="16"/>
      <c r="D97" s="16"/>
      <c r="E97" s="16"/>
      <c r="F97" s="16"/>
      <c r="G97" s="16"/>
      <c r="H97" s="16"/>
      <c r="I97" s="4" t="str">
        <f aca="false">IF(OR(G97="",H97=""),"",IF(AND(G97=0,H97="No"),"Yes","No"))</f>
        <v/>
      </c>
      <c r="J97" s="16"/>
      <c r="K97" s="16"/>
    </row>
    <row r="98" customFormat="false" ht="15" hidden="false" customHeight="false" outlineLevel="0" collapsed="false">
      <c r="A98" s="16"/>
      <c r="B98" s="16"/>
      <c r="C98" s="16"/>
      <c r="D98" s="16"/>
      <c r="E98" s="16"/>
      <c r="F98" s="16"/>
      <c r="G98" s="16"/>
      <c r="H98" s="16"/>
      <c r="I98" s="4" t="str">
        <f aca="false">IF(OR(G98="",H98=""),"",IF(AND(G98=0,H98="No"),"Yes","No"))</f>
        <v/>
      </c>
      <c r="J98" s="16"/>
      <c r="K98" s="16"/>
    </row>
    <row r="99" customFormat="false" ht="15" hidden="false" customHeight="false" outlineLevel="0" collapsed="false">
      <c r="A99" s="16"/>
      <c r="B99" s="16"/>
      <c r="C99" s="16"/>
      <c r="D99" s="16"/>
      <c r="E99" s="16"/>
      <c r="F99" s="16"/>
      <c r="G99" s="16"/>
      <c r="H99" s="16"/>
      <c r="I99" s="4" t="str">
        <f aca="false">IF(OR(G99="",H99=""),"",IF(AND(G99=0,H99="No"),"Yes","No"))</f>
        <v/>
      </c>
      <c r="J99" s="16"/>
      <c r="K99" s="16"/>
    </row>
    <row r="100" customFormat="false" ht="15" hidden="false" customHeight="false" outlineLevel="0" collapsed="false">
      <c r="A100" s="16"/>
      <c r="B100" s="16"/>
      <c r="C100" s="16"/>
      <c r="D100" s="16"/>
      <c r="E100" s="16"/>
      <c r="F100" s="16"/>
      <c r="G100" s="16"/>
      <c r="H100" s="16"/>
      <c r="I100" s="4" t="str">
        <f aca="false">IF(OR(G100="",H100=""),"",IF(AND(G100=0,H100="No"),"Yes","No"))</f>
        <v/>
      </c>
      <c r="J100" s="16"/>
      <c r="K100" s="16"/>
    </row>
    <row r="101" customFormat="false" ht="15" hidden="false" customHeight="false" outlineLevel="0" collapsed="false">
      <c r="A101" s="16"/>
      <c r="B101" s="16"/>
      <c r="C101" s="16"/>
      <c r="D101" s="16"/>
      <c r="E101" s="16"/>
      <c r="F101" s="16"/>
      <c r="G101" s="16"/>
      <c r="H101" s="16"/>
      <c r="I101" s="4" t="str">
        <f aca="false">IF(OR(G101="",H101=""),"",IF(AND(G101=0,H101="No"),"Yes","No"))</f>
        <v/>
      </c>
      <c r="J101" s="16"/>
      <c r="K101" s="16"/>
    </row>
    <row r="102" customFormat="false" ht="15" hidden="false" customHeight="false" outlineLevel="0" collapsed="false">
      <c r="A102" s="16"/>
      <c r="B102" s="16"/>
      <c r="C102" s="16"/>
      <c r="D102" s="16"/>
      <c r="E102" s="16"/>
      <c r="F102" s="16"/>
      <c r="G102" s="16"/>
      <c r="H102" s="16"/>
      <c r="I102" s="4" t="str">
        <f aca="false">IF(OR(G102="",H102=""),"",IF(AND(G102=0,H102="No"),"Yes","No"))</f>
        <v/>
      </c>
      <c r="J102" s="16"/>
      <c r="K102" s="16"/>
    </row>
    <row r="103" customFormat="false" ht="15" hidden="false" customHeight="false" outlineLevel="0" collapsed="false">
      <c r="A103" s="16"/>
      <c r="B103" s="16"/>
      <c r="C103" s="16"/>
      <c r="D103" s="16"/>
      <c r="E103" s="16"/>
      <c r="F103" s="16"/>
      <c r="G103" s="16"/>
      <c r="H103" s="16"/>
      <c r="I103" s="4" t="str">
        <f aca="false">IF(OR(G103="",H103=""),"",IF(AND(G103=0,H103="No"),"Yes","No"))</f>
        <v/>
      </c>
      <c r="J103" s="16"/>
      <c r="K103" s="16"/>
    </row>
    <row r="104" customFormat="false" ht="15" hidden="false" customHeight="false" outlineLevel="0" collapsed="false">
      <c r="A104" s="16"/>
      <c r="B104" s="16"/>
      <c r="C104" s="16"/>
      <c r="D104" s="16"/>
      <c r="E104" s="16"/>
      <c r="F104" s="16"/>
      <c r="G104" s="16"/>
      <c r="H104" s="16"/>
      <c r="I104" s="4" t="str">
        <f aca="false">IF(OR(G104="",H104=""),"",IF(AND(G104=0,H104="No"),"Yes","No"))</f>
        <v/>
      </c>
      <c r="J104" s="16"/>
      <c r="K104" s="16"/>
    </row>
    <row r="105" customFormat="false" ht="15" hidden="false" customHeight="false" outlineLevel="0" collapsed="false">
      <c r="A105" s="16"/>
      <c r="B105" s="16"/>
      <c r="C105" s="16"/>
      <c r="D105" s="16"/>
      <c r="E105" s="16"/>
      <c r="F105" s="16"/>
      <c r="G105" s="16"/>
      <c r="H105" s="16"/>
      <c r="I105" s="4" t="str">
        <f aca="false">IF(OR(G105="",H105=""),"",IF(AND(G105=0,H105="No"),"Yes","No"))</f>
        <v/>
      </c>
      <c r="J105" s="16"/>
      <c r="K105" s="16"/>
    </row>
    <row r="106" customFormat="false" ht="15" hidden="false" customHeight="false" outlineLevel="0" collapsed="false">
      <c r="A106" s="16"/>
      <c r="B106" s="16"/>
      <c r="C106" s="16"/>
      <c r="D106" s="16"/>
      <c r="E106" s="16"/>
      <c r="F106" s="16"/>
      <c r="G106" s="16"/>
      <c r="H106" s="16"/>
      <c r="I106" s="4" t="str">
        <f aca="false">IF(OR(G106="",H106=""),"",IF(AND(G106=0,H106="No"),"Yes","No"))</f>
        <v/>
      </c>
      <c r="J106" s="16"/>
      <c r="K106" s="16"/>
    </row>
    <row r="107" customFormat="false" ht="15" hidden="false" customHeight="false" outlineLevel="0" collapsed="false">
      <c r="A107" s="16"/>
      <c r="B107" s="16"/>
      <c r="C107" s="16"/>
      <c r="D107" s="16"/>
      <c r="E107" s="16"/>
      <c r="F107" s="16"/>
      <c r="G107" s="16"/>
      <c r="H107" s="16"/>
      <c r="I107" s="4" t="str">
        <f aca="false">IF(OR(G107="",H107=""),"",IF(AND(G107=0,H107="No"),"Yes","No"))</f>
        <v/>
      </c>
      <c r="J107" s="16"/>
      <c r="K107" s="16"/>
    </row>
    <row r="108" customFormat="false" ht="15" hidden="false" customHeight="false" outlineLevel="0" collapsed="false">
      <c r="A108" s="16"/>
      <c r="B108" s="16"/>
      <c r="C108" s="16"/>
      <c r="D108" s="16"/>
      <c r="E108" s="16"/>
      <c r="F108" s="16"/>
      <c r="G108" s="16"/>
      <c r="H108" s="16"/>
      <c r="I108" s="4" t="str">
        <f aca="false">IF(OR(G108="",H108=""),"",IF(AND(G108=0,H108="No"),"Yes","No"))</f>
        <v/>
      </c>
      <c r="J108" s="16"/>
      <c r="K108" s="16"/>
    </row>
    <row r="109" customFormat="false" ht="15" hidden="false" customHeight="false" outlineLevel="0" collapsed="false">
      <c r="A109" s="16"/>
      <c r="B109" s="16"/>
      <c r="C109" s="16"/>
      <c r="D109" s="16"/>
      <c r="E109" s="16"/>
      <c r="F109" s="16"/>
      <c r="G109" s="16"/>
      <c r="H109" s="16"/>
      <c r="I109" s="4" t="str">
        <f aca="false">IF(OR(G109="",H109=""),"",IF(AND(G109=0,H109="No"),"Yes","No"))</f>
        <v/>
      </c>
      <c r="J109" s="16"/>
      <c r="K109" s="16"/>
    </row>
    <row r="110" customFormat="false" ht="15" hidden="false" customHeight="false" outlineLevel="0" collapsed="false">
      <c r="A110" s="16"/>
      <c r="B110" s="16"/>
      <c r="C110" s="16"/>
      <c r="D110" s="16"/>
      <c r="E110" s="16"/>
      <c r="F110" s="16"/>
      <c r="G110" s="16"/>
      <c r="H110" s="16"/>
      <c r="I110" s="4" t="str">
        <f aca="false">IF(OR(G110="",H110=""),"",IF(AND(G110=0,H110="No"),"Yes","No"))</f>
        <v/>
      </c>
      <c r="J110" s="16"/>
      <c r="K110" s="16"/>
    </row>
    <row r="111" customFormat="false" ht="15" hidden="false" customHeight="false" outlineLevel="0" collapsed="false">
      <c r="A111" s="16"/>
      <c r="B111" s="16"/>
      <c r="C111" s="16"/>
      <c r="D111" s="16"/>
      <c r="E111" s="16"/>
      <c r="F111" s="16"/>
      <c r="G111" s="16"/>
      <c r="H111" s="16"/>
      <c r="I111" s="4" t="str">
        <f aca="false">IF(OR(G111="",H111=""),"",IF(AND(G111=0,H111="No"),"Yes","No"))</f>
        <v/>
      </c>
      <c r="J111" s="16"/>
      <c r="K111" s="16"/>
    </row>
    <row r="112" customFormat="false" ht="15" hidden="false" customHeight="false" outlineLevel="0" collapsed="false">
      <c r="A112" s="16"/>
      <c r="B112" s="16"/>
      <c r="C112" s="16"/>
      <c r="D112" s="16"/>
      <c r="E112" s="16"/>
      <c r="F112" s="16"/>
      <c r="G112" s="16"/>
      <c r="H112" s="16"/>
      <c r="I112" s="4" t="str">
        <f aca="false">IF(OR(G112="",H112=""),"",IF(AND(G112=0,H112="No"),"Yes","No"))</f>
        <v/>
      </c>
      <c r="J112" s="16"/>
      <c r="K112" s="16"/>
    </row>
    <row r="113" customFormat="false" ht="15" hidden="false" customHeight="false" outlineLevel="0" collapsed="false">
      <c r="A113" s="16"/>
      <c r="B113" s="16"/>
      <c r="C113" s="16"/>
      <c r="D113" s="16"/>
      <c r="E113" s="16"/>
      <c r="F113" s="16"/>
      <c r="G113" s="16"/>
      <c r="H113" s="16"/>
      <c r="I113" s="4" t="str">
        <f aca="false">IF(OR(G113="",H113=""),"",IF(AND(G113=0,H113="No"),"Yes","No"))</f>
        <v/>
      </c>
      <c r="J113" s="16"/>
      <c r="K113" s="16"/>
    </row>
    <row r="114" customFormat="false" ht="15" hidden="false" customHeight="false" outlineLevel="0" collapsed="false">
      <c r="A114" s="16"/>
      <c r="B114" s="16"/>
      <c r="C114" s="16"/>
      <c r="D114" s="16"/>
      <c r="E114" s="16"/>
      <c r="F114" s="16"/>
      <c r="G114" s="16"/>
      <c r="H114" s="16"/>
      <c r="I114" s="4" t="str">
        <f aca="false">IF(OR(G114="",H114=""),"",IF(AND(G114=0,H114="No"),"Yes","No"))</f>
        <v/>
      </c>
      <c r="J114" s="16"/>
      <c r="K114" s="16"/>
    </row>
    <row r="115" customFormat="false" ht="15" hidden="false" customHeight="false" outlineLevel="0" collapsed="false">
      <c r="A115" s="16"/>
      <c r="B115" s="16"/>
      <c r="C115" s="16"/>
      <c r="D115" s="16"/>
      <c r="E115" s="16"/>
      <c r="F115" s="16"/>
      <c r="G115" s="16"/>
      <c r="H115" s="16"/>
      <c r="I115" s="4" t="str">
        <f aca="false">IF(OR(G115="",H115=""),"",IF(AND(G115=0,H115="No"),"Yes","No"))</f>
        <v/>
      </c>
      <c r="J115" s="16"/>
      <c r="K115" s="16"/>
    </row>
    <row r="116" customFormat="false" ht="15" hidden="false" customHeight="false" outlineLevel="0" collapsed="false">
      <c r="A116" s="16"/>
      <c r="B116" s="16"/>
      <c r="C116" s="16"/>
      <c r="D116" s="16"/>
      <c r="E116" s="16"/>
      <c r="F116" s="16"/>
      <c r="G116" s="16"/>
      <c r="H116" s="16"/>
      <c r="I116" s="4" t="str">
        <f aca="false">IF(OR(G116="",H116=""),"",IF(AND(G116=0,H116="No"),"Yes","No"))</f>
        <v/>
      </c>
      <c r="J116" s="16"/>
      <c r="K116" s="16"/>
    </row>
    <row r="117" customFormat="false" ht="15" hidden="false" customHeight="false" outlineLevel="0" collapsed="false">
      <c r="A117" s="16"/>
      <c r="B117" s="16"/>
      <c r="C117" s="16"/>
      <c r="D117" s="16"/>
      <c r="E117" s="16"/>
      <c r="F117" s="16"/>
      <c r="G117" s="16"/>
      <c r="H117" s="16"/>
      <c r="I117" s="4" t="str">
        <f aca="false">IF(OR(G117="",H117=""),"",IF(AND(G117=0,H117="No"),"Yes","No"))</f>
        <v/>
      </c>
      <c r="J117" s="16"/>
      <c r="K117" s="16"/>
    </row>
    <row r="118" customFormat="false" ht="15" hidden="false" customHeight="false" outlineLevel="0" collapsed="false">
      <c r="A118" s="16"/>
      <c r="B118" s="16"/>
      <c r="C118" s="16"/>
      <c r="D118" s="16"/>
      <c r="E118" s="16"/>
      <c r="F118" s="16"/>
      <c r="G118" s="16"/>
      <c r="H118" s="16"/>
      <c r="I118" s="4" t="str">
        <f aca="false">IF(OR(G118="",H118=""),"",IF(AND(G118=0,H118="No"),"Yes","No"))</f>
        <v/>
      </c>
      <c r="J118" s="16"/>
      <c r="K118" s="16"/>
    </row>
    <row r="119" customFormat="false" ht="15" hidden="false" customHeight="false" outlineLevel="0" collapsed="false">
      <c r="A119" s="16"/>
      <c r="B119" s="16"/>
      <c r="C119" s="16"/>
      <c r="D119" s="16"/>
      <c r="E119" s="16"/>
      <c r="F119" s="16"/>
      <c r="G119" s="16"/>
      <c r="H119" s="16"/>
      <c r="I119" s="4" t="str">
        <f aca="false">IF(OR(G119="",H119=""),"",IF(AND(G119=0,H119="No"),"Yes","No"))</f>
        <v/>
      </c>
      <c r="J119" s="16"/>
      <c r="K119" s="16"/>
    </row>
    <row r="120" customFormat="false" ht="15" hidden="false" customHeight="false" outlineLevel="0" collapsed="false">
      <c r="A120" s="16"/>
      <c r="B120" s="16"/>
      <c r="C120" s="16"/>
      <c r="D120" s="16"/>
      <c r="E120" s="16"/>
      <c r="F120" s="16"/>
      <c r="G120" s="16"/>
      <c r="H120" s="16"/>
      <c r="I120" s="4" t="str">
        <f aca="false">IF(OR(G120="",H120=""),"",IF(AND(G120=0,H120="No"),"Yes","No"))</f>
        <v/>
      </c>
      <c r="J120" s="16"/>
      <c r="K120" s="16"/>
    </row>
    <row r="121" customFormat="false" ht="15" hidden="false" customHeight="false" outlineLevel="0" collapsed="false">
      <c r="A121" s="16"/>
      <c r="B121" s="16"/>
      <c r="C121" s="16"/>
      <c r="D121" s="16"/>
      <c r="E121" s="16"/>
      <c r="F121" s="16"/>
      <c r="G121" s="16"/>
      <c r="H121" s="16"/>
      <c r="I121" s="4" t="str">
        <f aca="false">IF(OR(G121="",H121=""),"",IF(AND(G121=0,H121="No"),"Yes","No"))</f>
        <v/>
      </c>
      <c r="J121" s="16"/>
      <c r="K121" s="16"/>
    </row>
    <row r="122" customFormat="false" ht="15" hidden="false" customHeight="false" outlineLevel="0" collapsed="false">
      <c r="A122" s="16"/>
      <c r="B122" s="16"/>
      <c r="C122" s="16"/>
      <c r="D122" s="16"/>
      <c r="E122" s="16"/>
      <c r="F122" s="16"/>
      <c r="G122" s="16"/>
      <c r="H122" s="16"/>
      <c r="I122" s="4" t="str">
        <f aca="false">IF(OR(G122="",H122=""),"",IF(AND(G122=0,H122="No"),"Yes","No"))</f>
        <v/>
      </c>
      <c r="J122" s="16"/>
      <c r="K122" s="16"/>
    </row>
    <row r="123" customFormat="false" ht="15" hidden="false" customHeight="false" outlineLevel="0" collapsed="false">
      <c r="A123" s="16"/>
      <c r="B123" s="16"/>
      <c r="C123" s="16"/>
      <c r="D123" s="16"/>
      <c r="E123" s="16"/>
      <c r="F123" s="16"/>
      <c r="G123" s="16"/>
      <c r="H123" s="16"/>
      <c r="I123" s="4" t="str">
        <f aca="false">IF(OR(G123="",H123=""),"",IF(AND(G123=0,H123="No"),"Yes","No"))</f>
        <v/>
      </c>
      <c r="J123" s="16"/>
      <c r="K123" s="16"/>
    </row>
    <row r="124" customFormat="false" ht="15" hidden="false" customHeight="false" outlineLevel="0" collapsed="false">
      <c r="A124" s="16"/>
      <c r="B124" s="16"/>
      <c r="C124" s="16"/>
      <c r="D124" s="16"/>
      <c r="E124" s="16"/>
      <c r="F124" s="16"/>
      <c r="G124" s="16"/>
      <c r="H124" s="16"/>
      <c r="I124" s="4" t="str">
        <f aca="false">IF(OR(G124="",H124=""),"",IF(AND(G124=0,H124="No"),"Yes","No"))</f>
        <v/>
      </c>
      <c r="J124" s="16"/>
      <c r="K124" s="16"/>
    </row>
    <row r="125" customFormat="false" ht="15" hidden="false" customHeight="false" outlineLevel="0" collapsed="false">
      <c r="A125" s="16"/>
      <c r="B125" s="16"/>
      <c r="C125" s="16"/>
      <c r="D125" s="16"/>
      <c r="E125" s="16"/>
      <c r="F125" s="16"/>
      <c r="G125" s="16"/>
      <c r="H125" s="16"/>
      <c r="I125" s="4" t="str">
        <f aca="false">IF(OR(G125="",H125=""),"",IF(AND(G125=0,H125="No"),"Yes","No"))</f>
        <v/>
      </c>
      <c r="J125" s="16"/>
      <c r="K125" s="16"/>
    </row>
    <row r="126" customFormat="false" ht="15" hidden="false" customHeight="false" outlineLevel="0" collapsed="false">
      <c r="A126" s="16"/>
      <c r="B126" s="16"/>
      <c r="C126" s="16"/>
      <c r="D126" s="16"/>
      <c r="E126" s="16"/>
      <c r="F126" s="16"/>
      <c r="G126" s="16"/>
      <c r="H126" s="16"/>
      <c r="I126" s="4" t="str">
        <f aca="false">IF(OR(G126="",H126=""),"",IF(AND(G126=0,H126="No"),"Yes","No"))</f>
        <v/>
      </c>
      <c r="J126" s="16"/>
      <c r="K126" s="16"/>
    </row>
    <row r="127" customFormat="false" ht="15" hidden="false" customHeight="false" outlineLevel="0" collapsed="false">
      <c r="A127" s="16"/>
      <c r="B127" s="16"/>
      <c r="C127" s="16"/>
      <c r="D127" s="16"/>
      <c r="E127" s="16"/>
      <c r="F127" s="16"/>
      <c r="G127" s="16"/>
      <c r="H127" s="16"/>
      <c r="I127" s="4" t="str">
        <f aca="false">IF(OR(G127="",H127=""),"",IF(AND(G127=0,H127="No"),"Yes","No"))</f>
        <v/>
      </c>
      <c r="J127" s="16"/>
      <c r="K127" s="16"/>
    </row>
    <row r="128" customFormat="false" ht="15" hidden="false" customHeight="false" outlineLevel="0" collapsed="false">
      <c r="A128" s="16"/>
      <c r="B128" s="16"/>
      <c r="C128" s="16"/>
      <c r="D128" s="16"/>
      <c r="E128" s="16"/>
      <c r="F128" s="16"/>
      <c r="G128" s="16"/>
      <c r="H128" s="16"/>
      <c r="I128" s="4" t="str">
        <f aca="false">IF(OR(G128="",H128=""),"",IF(AND(G128=0,H128="No"),"Yes","No"))</f>
        <v/>
      </c>
      <c r="J128" s="16"/>
      <c r="K128" s="16"/>
    </row>
    <row r="129" customFormat="false" ht="15" hidden="false" customHeight="false" outlineLevel="0" collapsed="false">
      <c r="A129" s="16"/>
      <c r="B129" s="16"/>
      <c r="C129" s="16"/>
      <c r="D129" s="16"/>
      <c r="E129" s="16"/>
      <c r="F129" s="16"/>
      <c r="G129" s="16"/>
      <c r="H129" s="16"/>
      <c r="I129" s="4" t="str">
        <f aca="false">IF(OR(G129="",H129=""),"",IF(AND(G129=0,H129="No"),"Yes","No"))</f>
        <v/>
      </c>
      <c r="J129" s="16"/>
      <c r="K129" s="16"/>
    </row>
    <row r="130" customFormat="false" ht="15" hidden="false" customHeight="false" outlineLevel="0" collapsed="false">
      <c r="A130" s="16"/>
      <c r="B130" s="16"/>
      <c r="C130" s="16"/>
      <c r="D130" s="16"/>
      <c r="E130" s="16"/>
      <c r="F130" s="16"/>
      <c r="G130" s="16"/>
      <c r="H130" s="16"/>
      <c r="I130" s="4" t="str">
        <f aca="false">IF(OR(G130="",H130=""),"",IF(AND(G130=0,H130="No"),"Yes","No"))</f>
        <v/>
      </c>
      <c r="J130" s="16"/>
      <c r="K130" s="16"/>
    </row>
    <row r="131" customFormat="false" ht="15" hidden="false" customHeight="false" outlineLevel="0" collapsed="false">
      <c r="A131" s="16"/>
      <c r="B131" s="16"/>
      <c r="C131" s="16"/>
      <c r="D131" s="16"/>
      <c r="E131" s="16"/>
      <c r="F131" s="16"/>
      <c r="G131" s="16"/>
      <c r="H131" s="16"/>
      <c r="I131" s="4" t="str">
        <f aca="false">IF(OR(G131="",H131=""),"",IF(AND(G131=0,H131="No"),"Yes","No"))</f>
        <v/>
      </c>
      <c r="J131" s="16"/>
      <c r="K131" s="16"/>
    </row>
    <row r="132" customFormat="false" ht="15" hidden="false" customHeight="false" outlineLevel="0" collapsed="false">
      <c r="A132" s="16"/>
      <c r="B132" s="16"/>
      <c r="C132" s="16"/>
      <c r="D132" s="16"/>
      <c r="E132" s="16"/>
      <c r="F132" s="16"/>
      <c r="G132" s="16"/>
      <c r="H132" s="16"/>
      <c r="I132" s="4" t="str">
        <f aca="false">IF(OR(G132="",H132=""),"",IF(AND(G132=0,H132="No"),"Yes","No"))</f>
        <v/>
      </c>
      <c r="J132" s="16"/>
      <c r="K132" s="16"/>
    </row>
    <row r="133" customFormat="false" ht="15" hidden="false" customHeight="false" outlineLevel="0" collapsed="false">
      <c r="A133" s="16"/>
      <c r="B133" s="16"/>
      <c r="C133" s="16"/>
      <c r="D133" s="16"/>
      <c r="E133" s="16"/>
      <c r="F133" s="16"/>
      <c r="G133" s="16"/>
      <c r="H133" s="16"/>
      <c r="I133" s="4" t="str">
        <f aca="false">IF(OR(G133="",H133=""),"",IF(AND(G133=0,H133="No"),"Yes","No"))</f>
        <v/>
      </c>
      <c r="J133" s="16"/>
      <c r="K133" s="16"/>
    </row>
    <row r="134" customFormat="false" ht="15" hidden="false" customHeight="false" outlineLevel="0" collapsed="false">
      <c r="A134" s="16"/>
      <c r="B134" s="16"/>
      <c r="C134" s="16"/>
      <c r="D134" s="16"/>
      <c r="E134" s="16"/>
      <c r="F134" s="16"/>
      <c r="G134" s="16"/>
      <c r="H134" s="16"/>
      <c r="I134" s="4" t="str">
        <f aca="false">IF(OR(G134="",H134=""),"",IF(AND(G134=0,H134="No"),"Yes","No"))</f>
        <v/>
      </c>
      <c r="J134" s="16"/>
      <c r="K134" s="16"/>
    </row>
    <row r="135" customFormat="false" ht="15" hidden="false" customHeight="false" outlineLevel="0" collapsed="false">
      <c r="A135" s="16"/>
      <c r="B135" s="16"/>
      <c r="C135" s="16"/>
      <c r="D135" s="16"/>
      <c r="E135" s="16"/>
      <c r="F135" s="16"/>
      <c r="G135" s="16"/>
      <c r="H135" s="16"/>
      <c r="I135" s="4" t="str">
        <f aca="false">IF(OR(G135="",H135=""),"",IF(AND(G135=0,H135="No"),"Yes","No"))</f>
        <v/>
      </c>
      <c r="J135" s="16"/>
      <c r="K135" s="16"/>
    </row>
    <row r="136" customFormat="false" ht="15" hidden="false" customHeight="false" outlineLevel="0" collapsed="false">
      <c r="A136" s="16"/>
      <c r="B136" s="16"/>
      <c r="C136" s="16"/>
      <c r="D136" s="16"/>
      <c r="E136" s="16"/>
      <c r="F136" s="16"/>
      <c r="G136" s="16"/>
      <c r="H136" s="16"/>
      <c r="I136" s="4" t="str">
        <f aca="false">IF(OR(G136="",H136=""),"",IF(AND(G136=0,H136="No"),"Yes","No"))</f>
        <v/>
      </c>
      <c r="J136" s="16"/>
      <c r="K136" s="16"/>
    </row>
    <row r="137" customFormat="false" ht="15" hidden="false" customHeight="false" outlineLevel="0" collapsed="false">
      <c r="A137" s="16"/>
      <c r="B137" s="16"/>
      <c r="C137" s="16"/>
      <c r="D137" s="16"/>
      <c r="E137" s="16"/>
      <c r="F137" s="16"/>
      <c r="G137" s="16"/>
      <c r="H137" s="16"/>
      <c r="I137" s="4" t="str">
        <f aca="false">IF(OR(G137="",H137=""),"",IF(AND(G137=0,H137="No"),"Yes","No"))</f>
        <v/>
      </c>
      <c r="J137" s="16"/>
      <c r="K137" s="16"/>
    </row>
    <row r="138" customFormat="false" ht="15" hidden="false" customHeight="false" outlineLevel="0" collapsed="false">
      <c r="A138" s="16"/>
      <c r="B138" s="16"/>
      <c r="C138" s="16"/>
      <c r="D138" s="16"/>
      <c r="E138" s="16"/>
      <c r="F138" s="16"/>
      <c r="G138" s="16"/>
      <c r="H138" s="16"/>
      <c r="I138" s="4" t="str">
        <f aca="false">IF(OR(G138="",H138=""),"",IF(AND(G138=0,H138="No"),"Yes","No"))</f>
        <v/>
      </c>
      <c r="J138" s="16"/>
      <c r="K138" s="16"/>
    </row>
    <row r="139" customFormat="false" ht="15" hidden="false" customHeight="false" outlineLevel="0" collapsed="false">
      <c r="A139" s="16"/>
      <c r="B139" s="16"/>
      <c r="C139" s="16"/>
      <c r="D139" s="16"/>
      <c r="E139" s="16"/>
      <c r="F139" s="16"/>
      <c r="G139" s="16"/>
      <c r="H139" s="16"/>
      <c r="I139" s="4" t="str">
        <f aca="false">IF(OR(G139="",H139=""),"",IF(AND(G139=0,H139="No"),"Yes","No"))</f>
        <v/>
      </c>
      <c r="J139" s="16"/>
      <c r="K139" s="16"/>
    </row>
    <row r="140" customFormat="false" ht="15" hidden="false" customHeight="false" outlineLevel="0" collapsed="false">
      <c r="A140" s="16"/>
      <c r="B140" s="16"/>
      <c r="C140" s="16"/>
      <c r="D140" s="16"/>
      <c r="E140" s="16"/>
      <c r="F140" s="16"/>
      <c r="G140" s="16"/>
      <c r="H140" s="16"/>
      <c r="I140" s="4" t="str">
        <f aca="false">IF(OR(G140="",H140=""),"",IF(AND(G140=0,H140="No"),"Yes","No"))</f>
        <v/>
      </c>
      <c r="J140" s="16"/>
      <c r="K140" s="16"/>
    </row>
    <row r="141" customFormat="false" ht="15" hidden="false" customHeight="false" outlineLevel="0" collapsed="false">
      <c r="A141" s="16"/>
      <c r="B141" s="16"/>
      <c r="C141" s="16"/>
      <c r="D141" s="16"/>
      <c r="E141" s="16"/>
      <c r="F141" s="16"/>
      <c r="G141" s="16"/>
      <c r="H141" s="16"/>
      <c r="I141" s="4" t="str">
        <f aca="false">IF(OR(G141="",H141=""),"",IF(AND(G141=0,H141="No"),"Yes","No"))</f>
        <v/>
      </c>
      <c r="J141" s="16"/>
      <c r="K141" s="16"/>
    </row>
    <row r="142" customFormat="false" ht="15" hidden="false" customHeight="false" outlineLevel="0" collapsed="false">
      <c r="A142" s="16"/>
      <c r="B142" s="16"/>
      <c r="C142" s="16"/>
      <c r="D142" s="16"/>
      <c r="E142" s="16"/>
      <c r="F142" s="16"/>
      <c r="G142" s="16"/>
      <c r="H142" s="16"/>
      <c r="I142" s="4" t="str">
        <f aca="false">IF(OR(G142="",H142=""),"",IF(AND(G142=0,H142="No"),"Yes","No"))</f>
        <v/>
      </c>
      <c r="J142" s="16"/>
      <c r="K142" s="16"/>
    </row>
    <row r="143" customFormat="false" ht="15" hidden="false" customHeight="false" outlineLevel="0" collapsed="false">
      <c r="A143" s="16"/>
      <c r="B143" s="16"/>
      <c r="C143" s="16"/>
      <c r="D143" s="16"/>
      <c r="E143" s="16"/>
      <c r="F143" s="16"/>
      <c r="G143" s="16"/>
      <c r="H143" s="16"/>
      <c r="I143" s="4" t="str">
        <f aca="false">IF(OR(G143="",H143=""),"",IF(AND(G143=0,H143="No"),"Yes","No"))</f>
        <v/>
      </c>
      <c r="J143" s="16"/>
      <c r="K143" s="16"/>
    </row>
    <row r="144" customFormat="false" ht="15" hidden="false" customHeight="false" outlineLevel="0" collapsed="false">
      <c r="A144" s="16"/>
      <c r="B144" s="16"/>
      <c r="C144" s="16"/>
      <c r="D144" s="16"/>
      <c r="E144" s="16"/>
      <c r="F144" s="16"/>
      <c r="G144" s="16"/>
      <c r="H144" s="16"/>
      <c r="I144" s="4" t="str">
        <f aca="false">IF(OR(G144="",H144=""),"",IF(AND(G144=0,H144="No"),"Yes","No"))</f>
        <v/>
      </c>
      <c r="J144" s="16"/>
      <c r="K144" s="16"/>
    </row>
    <row r="145" customFormat="false" ht="15" hidden="false" customHeight="false" outlineLevel="0" collapsed="false">
      <c r="A145" s="16"/>
      <c r="B145" s="16"/>
      <c r="C145" s="16"/>
      <c r="D145" s="16"/>
      <c r="E145" s="16"/>
      <c r="F145" s="16"/>
      <c r="G145" s="16"/>
      <c r="H145" s="16"/>
      <c r="I145" s="4" t="str">
        <f aca="false">IF(OR(G145="",H145=""),"",IF(AND(G145=0,H145="No"),"Yes","No"))</f>
        <v/>
      </c>
      <c r="J145" s="16"/>
      <c r="K145" s="16"/>
    </row>
    <row r="146" customFormat="false" ht="15" hidden="false" customHeight="false" outlineLevel="0" collapsed="false">
      <c r="A146" s="16"/>
      <c r="B146" s="16"/>
      <c r="C146" s="16"/>
      <c r="D146" s="16"/>
      <c r="E146" s="16"/>
      <c r="F146" s="16"/>
      <c r="G146" s="16"/>
      <c r="H146" s="16"/>
      <c r="I146" s="4" t="str">
        <f aca="false">IF(OR(G146="",H146=""),"",IF(AND(G146=0,H146="No"),"Yes","No"))</f>
        <v/>
      </c>
      <c r="J146" s="16"/>
      <c r="K146" s="16"/>
    </row>
    <row r="147" customFormat="false" ht="15" hidden="false" customHeight="false" outlineLevel="0" collapsed="false">
      <c r="A147" s="16"/>
      <c r="B147" s="16"/>
      <c r="C147" s="16"/>
      <c r="D147" s="16"/>
      <c r="E147" s="16"/>
      <c r="F147" s="16"/>
      <c r="G147" s="16"/>
      <c r="H147" s="16"/>
      <c r="I147" s="4" t="str">
        <f aca="false">IF(OR(G147="",H147=""),"",IF(AND(G147=0,H147="No"),"Yes","No"))</f>
        <v/>
      </c>
      <c r="J147" s="16"/>
      <c r="K147" s="16"/>
    </row>
    <row r="148" customFormat="false" ht="15" hidden="false" customHeight="false" outlineLevel="0" collapsed="false">
      <c r="A148" s="16"/>
      <c r="B148" s="16"/>
      <c r="C148" s="16"/>
      <c r="D148" s="16"/>
      <c r="E148" s="16"/>
      <c r="F148" s="16"/>
      <c r="G148" s="16"/>
      <c r="H148" s="16"/>
      <c r="I148" s="4" t="str">
        <f aca="false">IF(OR(G148="",H148=""),"",IF(AND(G148=0,H148="No"),"Yes","No"))</f>
        <v/>
      </c>
      <c r="J148" s="16"/>
      <c r="K148" s="16"/>
    </row>
    <row r="149" customFormat="false" ht="15" hidden="false" customHeight="false" outlineLevel="0" collapsed="false">
      <c r="A149" s="16"/>
      <c r="B149" s="16"/>
      <c r="C149" s="16"/>
      <c r="D149" s="16"/>
      <c r="E149" s="16"/>
      <c r="F149" s="16"/>
      <c r="G149" s="16"/>
      <c r="H149" s="16"/>
      <c r="I149" s="4" t="str">
        <f aca="false">IF(OR(G149="",H149=""),"",IF(AND(G149=0,H149="No"),"Yes","No"))</f>
        <v/>
      </c>
      <c r="J149" s="16"/>
      <c r="K149" s="16"/>
    </row>
    <row r="150" customFormat="false" ht="15" hidden="false" customHeight="false" outlineLevel="0" collapsed="false">
      <c r="A150" s="16"/>
      <c r="B150" s="16"/>
      <c r="C150" s="16"/>
      <c r="D150" s="16"/>
      <c r="E150" s="16"/>
      <c r="F150" s="16"/>
      <c r="G150" s="16"/>
      <c r="H150" s="16"/>
      <c r="I150" s="4" t="str">
        <f aca="false">IF(OR(G150="",H150=""),"",IF(AND(G150=0,H150="No"),"Yes","No"))</f>
        <v/>
      </c>
      <c r="J150" s="16"/>
      <c r="K150" s="16"/>
    </row>
    <row r="151" customFormat="false" ht="15" hidden="false" customHeight="false" outlineLevel="0" collapsed="false">
      <c r="A151" s="16"/>
      <c r="B151" s="16"/>
      <c r="C151" s="16"/>
      <c r="D151" s="16"/>
      <c r="E151" s="16"/>
      <c r="F151" s="16"/>
      <c r="G151" s="16"/>
      <c r="H151" s="16"/>
      <c r="I151" s="4" t="str">
        <f aca="false">IF(OR(G151="",H151=""),"",IF(AND(G151=0,H151="No"),"Yes","No"))</f>
        <v/>
      </c>
      <c r="J151" s="16"/>
      <c r="K151" s="16"/>
    </row>
    <row r="152" customFormat="false" ht="15" hidden="false" customHeight="false" outlineLevel="0" collapsed="false">
      <c r="A152" s="16"/>
      <c r="B152" s="16"/>
      <c r="C152" s="16"/>
      <c r="D152" s="16"/>
      <c r="E152" s="16"/>
      <c r="F152" s="16"/>
      <c r="G152" s="16"/>
      <c r="H152" s="16"/>
      <c r="I152" s="4" t="str">
        <f aca="false">IF(OR(G152="",H152=""),"",IF(AND(G152=0,H152="No"),"Yes","No"))</f>
        <v/>
      </c>
      <c r="J152" s="16"/>
      <c r="K152" s="16"/>
    </row>
    <row r="153" customFormat="false" ht="15" hidden="false" customHeight="false" outlineLevel="0" collapsed="false">
      <c r="A153" s="16"/>
      <c r="B153" s="16"/>
      <c r="C153" s="16"/>
      <c r="D153" s="16"/>
      <c r="E153" s="16"/>
      <c r="F153" s="16"/>
      <c r="G153" s="16"/>
      <c r="H153" s="16"/>
      <c r="I153" s="4" t="str">
        <f aca="false">IF(OR(G153="",H153=""),"",IF(AND(G153=0,H153="No"),"Yes","No"))</f>
        <v/>
      </c>
      <c r="J153" s="16"/>
      <c r="K153" s="16"/>
    </row>
    <row r="154" customFormat="false" ht="15" hidden="false" customHeight="false" outlineLevel="0" collapsed="false">
      <c r="A154" s="16"/>
      <c r="B154" s="16"/>
      <c r="C154" s="16"/>
      <c r="D154" s="16"/>
      <c r="E154" s="16"/>
      <c r="F154" s="16"/>
      <c r="G154" s="16"/>
      <c r="H154" s="16"/>
      <c r="I154" s="4" t="str">
        <f aca="false">IF(OR(G154="",H154=""),"",IF(AND(G154=0,H154="No"),"Yes","No"))</f>
        <v/>
      </c>
      <c r="J154" s="16"/>
      <c r="K154" s="16"/>
    </row>
    <row r="155" customFormat="false" ht="15" hidden="false" customHeight="false" outlineLevel="0" collapsed="false">
      <c r="A155" s="16"/>
      <c r="B155" s="16"/>
      <c r="C155" s="16"/>
      <c r="D155" s="16"/>
      <c r="E155" s="16"/>
      <c r="F155" s="16"/>
      <c r="G155" s="16"/>
      <c r="H155" s="16"/>
      <c r="I155" s="4" t="str">
        <f aca="false">IF(OR(G155="",H155=""),"",IF(AND(G155=0,H155="No"),"Yes","No"))</f>
        <v/>
      </c>
      <c r="J155" s="16"/>
      <c r="K155" s="16"/>
    </row>
    <row r="156" customFormat="false" ht="15" hidden="false" customHeight="false" outlineLevel="0" collapsed="false">
      <c r="A156" s="16"/>
      <c r="B156" s="16"/>
      <c r="C156" s="16"/>
      <c r="D156" s="16"/>
      <c r="E156" s="16"/>
      <c r="F156" s="16"/>
      <c r="G156" s="16"/>
      <c r="H156" s="16"/>
      <c r="I156" s="4" t="str">
        <f aca="false">IF(OR(G156="",H156=""),"",IF(AND(G156=0,H156="No"),"Yes","No"))</f>
        <v/>
      </c>
      <c r="J156" s="16"/>
      <c r="K156" s="16"/>
    </row>
    <row r="157" customFormat="false" ht="15" hidden="false" customHeight="false" outlineLevel="0" collapsed="false">
      <c r="A157" s="16"/>
      <c r="B157" s="16"/>
      <c r="C157" s="16"/>
      <c r="D157" s="16"/>
      <c r="E157" s="16"/>
      <c r="F157" s="16"/>
      <c r="G157" s="16"/>
      <c r="H157" s="16"/>
      <c r="I157" s="4" t="str">
        <f aca="false">IF(OR(G157="",H157=""),"",IF(AND(G157=0,H157="No"),"Yes","No"))</f>
        <v/>
      </c>
      <c r="J157" s="16"/>
      <c r="K157" s="16"/>
    </row>
    <row r="158" customFormat="false" ht="15" hidden="false" customHeight="false" outlineLevel="0" collapsed="false">
      <c r="A158" s="16"/>
      <c r="B158" s="16"/>
      <c r="C158" s="16"/>
      <c r="D158" s="16"/>
      <c r="E158" s="16"/>
      <c r="F158" s="16"/>
      <c r="G158" s="16"/>
      <c r="H158" s="16"/>
      <c r="I158" s="4" t="str">
        <f aca="false">IF(OR(G158="",H158=""),"",IF(AND(G158=0,H158="No"),"Yes","No"))</f>
        <v/>
      </c>
      <c r="J158" s="16"/>
      <c r="K158" s="16"/>
    </row>
    <row r="159" customFormat="false" ht="15" hidden="false" customHeight="false" outlineLevel="0" collapsed="false">
      <c r="A159" s="16"/>
      <c r="B159" s="16"/>
      <c r="C159" s="16"/>
      <c r="D159" s="16"/>
      <c r="E159" s="16"/>
      <c r="F159" s="16"/>
      <c r="G159" s="16"/>
      <c r="H159" s="16"/>
      <c r="I159" s="4" t="str">
        <f aca="false">IF(OR(G159="",H159=""),"",IF(AND(G159=0,H159="No"),"Yes","No"))</f>
        <v/>
      </c>
      <c r="J159" s="16"/>
      <c r="K159" s="16"/>
    </row>
    <row r="160" customFormat="false" ht="15" hidden="false" customHeight="false" outlineLevel="0" collapsed="false">
      <c r="A160" s="16"/>
      <c r="B160" s="16"/>
      <c r="C160" s="16"/>
      <c r="D160" s="16"/>
      <c r="E160" s="16"/>
      <c r="F160" s="16"/>
      <c r="G160" s="16"/>
      <c r="H160" s="16"/>
      <c r="I160" s="4" t="str">
        <f aca="false">IF(OR(G160="",H160=""),"",IF(AND(G160=0,H160="No"),"Yes","No"))</f>
        <v/>
      </c>
      <c r="J160" s="16"/>
      <c r="K160" s="16"/>
    </row>
    <row r="161" customFormat="false" ht="15" hidden="false" customHeight="false" outlineLevel="0" collapsed="false">
      <c r="A161" s="16"/>
      <c r="B161" s="16"/>
      <c r="C161" s="16"/>
      <c r="D161" s="16"/>
      <c r="E161" s="16"/>
      <c r="F161" s="16"/>
      <c r="G161" s="16"/>
      <c r="H161" s="16"/>
      <c r="I161" s="4" t="str">
        <f aca="false">IF(OR(G161="",H161=""),"",IF(AND(G161=0,H161="No"),"Yes","No"))</f>
        <v/>
      </c>
      <c r="J161" s="16"/>
      <c r="K161" s="16"/>
    </row>
    <row r="162" customFormat="false" ht="15" hidden="false" customHeight="false" outlineLevel="0" collapsed="false">
      <c r="A162" s="16"/>
      <c r="B162" s="16"/>
      <c r="C162" s="16"/>
      <c r="D162" s="16"/>
      <c r="E162" s="16"/>
      <c r="F162" s="16"/>
      <c r="G162" s="16"/>
      <c r="H162" s="16"/>
      <c r="I162" s="4" t="str">
        <f aca="false">IF(OR(G162="",H162=""),"",IF(AND(G162=0,H162="No"),"Yes","No"))</f>
        <v/>
      </c>
      <c r="J162" s="16"/>
      <c r="K162" s="16"/>
    </row>
    <row r="163" customFormat="false" ht="15" hidden="false" customHeight="false" outlineLevel="0" collapsed="false">
      <c r="A163" s="16"/>
      <c r="B163" s="16"/>
      <c r="C163" s="16"/>
      <c r="D163" s="16"/>
      <c r="E163" s="16"/>
      <c r="F163" s="16"/>
      <c r="G163" s="16"/>
      <c r="H163" s="16"/>
      <c r="I163" s="4" t="str">
        <f aca="false">IF(OR(G163="",H163=""),"",IF(AND(G163=0,H163="No"),"Yes","No"))</f>
        <v/>
      </c>
      <c r="J163" s="16"/>
      <c r="K163" s="16"/>
    </row>
    <row r="164" customFormat="false" ht="15" hidden="false" customHeight="false" outlineLevel="0" collapsed="false">
      <c r="A164" s="16"/>
      <c r="B164" s="16"/>
      <c r="C164" s="16"/>
      <c r="D164" s="16"/>
      <c r="E164" s="16"/>
      <c r="F164" s="16"/>
      <c r="G164" s="16"/>
      <c r="H164" s="16"/>
      <c r="I164" s="4" t="str">
        <f aca="false">IF(OR(G164="",H164=""),"",IF(AND(G164=0,H164="No"),"Yes","No"))</f>
        <v/>
      </c>
      <c r="J164" s="16"/>
      <c r="K164" s="16"/>
    </row>
    <row r="165" customFormat="false" ht="15" hidden="false" customHeight="false" outlineLevel="0" collapsed="false">
      <c r="A165" s="16"/>
      <c r="B165" s="16"/>
      <c r="C165" s="16"/>
      <c r="D165" s="16"/>
      <c r="E165" s="16"/>
      <c r="F165" s="16"/>
      <c r="G165" s="16"/>
      <c r="H165" s="16"/>
      <c r="I165" s="4" t="str">
        <f aca="false">IF(OR(G165="",H165=""),"",IF(AND(G165=0,H165="No"),"Yes","No"))</f>
        <v/>
      </c>
      <c r="J165" s="16"/>
      <c r="K165" s="16"/>
    </row>
    <row r="166" customFormat="false" ht="15" hidden="false" customHeight="false" outlineLevel="0" collapsed="false">
      <c r="A166" s="16"/>
      <c r="B166" s="16"/>
      <c r="C166" s="16"/>
      <c r="D166" s="16"/>
      <c r="E166" s="16"/>
      <c r="F166" s="16"/>
      <c r="G166" s="16"/>
      <c r="H166" s="16"/>
      <c r="I166" s="4" t="str">
        <f aca="false">IF(OR(G166="",H166=""),"",IF(AND(G166=0,H166="No"),"Yes","No"))</f>
        <v/>
      </c>
      <c r="J166" s="16"/>
      <c r="K166" s="16"/>
    </row>
    <row r="167" customFormat="false" ht="15" hidden="false" customHeight="false" outlineLevel="0" collapsed="false">
      <c r="A167" s="16"/>
      <c r="B167" s="16"/>
      <c r="C167" s="16"/>
      <c r="D167" s="16"/>
      <c r="E167" s="16"/>
      <c r="F167" s="16"/>
      <c r="G167" s="16"/>
      <c r="H167" s="16"/>
      <c r="I167" s="4" t="str">
        <f aca="false">IF(OR(G167="",H167=""),"",IF(AND(G167=0,H167="No"),"Yes","No"))</f>
        <v/>
      </c>
      <c r="J167" s="16"/>
      <c r="K167" s="16"/>
    </row>
    <row r="168" customFormat="false" ht="15" hidden="false" customHeight="false" outlineLevel="0" collapsed="false">
      <c r="A168" s="16"/>
      <c r="B168" s="16"/>
      <c r="C168" s="16"/>
      <c r="D168" s="16"/>
      <c r="E168" s="16"/>
      <c r="F168" s="16"/>
      <c r="G168" s="16"/>
      <c r="H168" s="16"/>
      <c r="I168" s="4" t="str">
        <f aca="false">IF(OR(G168="",H168=""),"",IF(AND(G168=0,H168="No"),"Yes","No"))</f>
        <v/>
      </c>
      <c r="J168" s="16"/>
      <c r="K168" s="16"/>
    </row>
    <row r="169" customFormat="false" ht="15" hidden="false" customHeight="false" outlineLevel="0" collapsed="false">
      <c r="A169" s="16"/>
      <c r="B169" s="16"/>
      <c r="C169" s="16"/>
      <c r="D169" s="16"/>
      <c r="E169" s="16"/>
      <c r="F169" s="16"/>
      <c r="G169" s="16"/>
      <c r="H169" s="16"/>
      <c r="I169" s="4" t="str">
        <f aca="false">IF(OR(G169="",H169=""),"",IF(AND(G169=0,H169="No"),"Yes","No"))</f>
        <v/>
      </c>
      <c r="J169" s="16"/>
      <c r="K169" s="16"/>
    </row>
    <row r="170" customFormat="false" ht="15" hidden="false" customHeight="false" outlineLevel="0" collapsed="false">
      <c r="A170" s="16"/>
      <c r="B170" s="16"/>
      <c r="C170" s="16"/>
      <c r="D170" s="16"/>
      <c r="E170" s="16"/>
      <c r="F170" s="16"/>
      <c r="G170" s="16"/>
      <c r="H170" s="16"/>
      <c r="I170" s="4" t="str">
        <f aca="false">IF(OR(G170="",H170=""),"",IF(AND(G170=0,H170="No"),"Yes","No"))</f>
        <v/>
      </c>
      <c r="J170" s="16"/>
      <c r="K170" s="16"/>
    </row>
    <row r="171" customFormat="false" ht="15" hidden="false" customHeight="false" outlineLevel="0" collapsed="false">
      <c r="A171" s="16"/>
      <c r="B171" s="16"/>
      <c r="C171" s="16"/>
      <c r="D171" s="16"/>
      <c r="E171" s="16"/>
      <c r="F171" s="16"/>
      <c r="G171" s="16"/>
      <c r="H171" s="16"/>
      <c r="I171" s="4" t="str">
        <f aca="false">IF(OR(G171="",H171=""),"",IF(AND(G171=0,H171="No"),"Yes","No"))</f>
        <v/>
      </c>
      <c r="J171" s="16"/>
      <c r="K171" s="16"/>
    </row>
    <row r="172" customFormat="false" ht="15" hidden="false" customHeight="false" outlineLevel="0" collapsed="false">
      <c r="A172" s="16"/>
      <c r="B172" s="16"/>
      <c r="C172" s="16"/>
      <c r="D172" s="16"/>
      <c r="E172" s="16"/>
      <c r="F172" s="16"/>
      <c r="G172" s="16"/>
      <c r="H172" s="16"/>
      <c r="I172" s="4" t="str">
        <f aca="false">IF(OR(G172="",H172=""),"",IF(AND(G172=0,H172="No"),"Yes","No"))</f>
        <v/>
      </c>
      <c r="J172" s="16"/>
      <c r="K172" s="16"/>
    </row>
    <row r="173" customFormat="false" ht="15" hidden="false" customHeight="false" outlineLevel="0" collapsed="false">
      <c r="A173" s="16"/>
      <c r="B173" s="16"/>
      <c r="C173" s="16"/>
      <c r="D173" s="16"/>
      <c r="E173" s="16"/>
      <c r="F173" s="16"/>
      <c r="G173" s="16"/>
      <c r="H173" s="16"/>
      <c r="I173" s="4" t="str">
        <f aca="false">IF(OR(G173="",H173=""),"",IF(AND(G173=0,H173="No"),"Yes","No"))</f>
        <v/>
      </c>
      <c r="J173" s="16"/>
      <c r="K173" s="16"/>
    </row>
    <row r="174" customFormat="false" ht="15" hidden="false" customHeight="false" outlineLevel="0" collapsed="false">
      <c r="A174" s="16"/>
      <c r="B174" s="16"/>
      <c r="C174" s="16"/>
      <c r="D174" s="16"/>
      <c r="E174" s="16"/>
      <c r="F174" s="16"/>
      <c r="G174" s="16"/>
      <c r="H174" s="16"/>
      <c r="I174" s="4" t="str">
        <f aca="false">IF(OR(G174="",H174=""),"",IF(AND(G174=0,H174="No"),"Yes","No"))</f>
        <v/>
      </c>
      <c r="J174" s="16"/>
      <c r="K174" s="16"/>
    </row>
    <row r="175" customFormat="false" ht="15" hidden="false" customHeight="false" outlineLevel="0" collapsed="false">
      <c r="A175" s="16"/>
      <c r="B175" s="16"/>
      <c r="C175" s="16"/>
      <c r="D175" s="16"/>
      <c r="E175" s="16"/>
      <c r="F175" s="16"/>
      <c r="G175" s="16"/>
      <c r="H175" s="16"/>
      <c r="I175" s="4" t="str">
        <f aca="false">IF(OR(G175="",H175=""),"",IF(AND(G175=0,H175="No"),"Yes","No"))</f>
        <v/>
      </c>
      <c r="J175" s="16"/>
      <c r="K175" s="16"/>
    </row>
    <row r="176" customFormat="false" ht="15" hidden="false" customHeight="false" outlineLevel="0" collapsed="false">
      <c r="A176" s="16"/>
      <c r="B176" s="16"/>
      <c r="C176" s="16"/>
      <c r="D176" s="16"/>
      <c r="E176" s="16"/>
      <c r="F176" s="16"/>
      <c r="G176" s="16"/>
      <c r="H176" s="16"/>
      <c r="I176" s="4" t="str">
        <f aca="false">IF(OR(G176="",H176=""),"",IF(AND(G176=0,H176="No"),"Yes","No"))</f>
        <v/>
      </c>
      <c r="J176" s="16"/>
      <c r="K176" s="16"/>
    </row>
    <row r="177" customFormat="false" ht="15" hidden="false" customHeight="false" outlineLevel="0" collapsed="false">
      <c r="A177" s="16"/>
      <c r="B177" s="16"/>
      <c r="C177" s="16"/>
      <c r="D177" s="16"/>
      <c r="E177" s="16"/>
      <c r="F177" s="16"/>
      <c r="G177" s="16"/>
      <c r="H177" s="16"/>
      <c r="I177" s="4" t="str">
        <f aca="false">IF(OR(G177="",H177=""),"",IF(AND(G177=0,H177="No"),"Yes","No"))</f>
        <v/>
      </c>
      <c r="J177" s="16"/>
      <c r="K177" s="16"/>
    </row>
    <row r="178" customFormat="false" ht="15" hidden="false" customHeight="false" outlineLevel="0" collapsed="false">
      <c r="A178" s="16"/>
      <c r="B178" s="16"/>
      <c r="C178" s="16"/>
      <c r="D178" s="16"/>
      <c r="E178" s="16"/>
      <c r="F178" s="16"/>
      <c r="G178" s="16"/>
      <c r="H178" s="16"/>
      <c r="I178" s="4" t="str">
        <f aca="false">IF(OR(G178="",H178=""),"",IF(AND(G178=0,H178="No"),"Yes","No"))</f>
        <v/>
      </c>
      <c r="J178" s="16"/>
      <c r="K178" s="16"/>
    </row>
    <row r="179" customFormat="false" ht="15" hidden="false" customHeight="false" outlineLevel="0" collapsed="false">
      <c r="A179" s="16"/>
      <c r="B179" s="16"/>
      <c r="C179" s="16"/>
      <c r="D179" s="16"/>
      <c r="E179" s="16"/>
      <c r="F179" s="16"/>
      <c r="G179" s="16"/>
      <c r="H179" s="16"/>
      <c r="I179" s="4" t="str">
        <f aca="false">IF(OR(G179="",H179=""),"",IF(AND(G179=0,H179="No"),"Yes","No"))</f>
        <v/>
      </c>
      <c r="J179" s="16"/>
      <c r="K179" s="16"/>
    </row>
    <row r="180" customFormat="false" ht="15" hidden="false" customHeight="false" outlineLevel="0" collapsed="false">
      <c r="A180" s="16"/>
      <c r="B180" s="16"/>
      <c r="C180" s="16"/>
      <c r="D180" s="16"/>
      <c r="E180" s="16"/>
      <c r="F180" s="16"/>
      <c r="G180" s="16"/>
      <c r="H180" s="16"/>
      <c r="I180" s="4" t="str">
        <f aca="false">IF(OR(G180="",H180=""),"",IF(AND(G180=0,H180="No"),"Yes","No"))</f>
        <v/>
      </c>
      <c r="J180" s="16"/>
      <c r="K180" s="16"/>
    </row>
    <row r="181" customFormat="false" ht="15" hidden="false" customHeight="false" outlineLevel="0" collapsed="false">
      <c r="A181" s="16"/>
      <c r="B181" s="16"/>
      <c r="C181" s="16"/>
      <c r="D181" s="16"/>
      <c r="E181" s="16"/>
      <c r="F181" s="16"/>
      <c r="G181" s="16"/>
      <c r="H181" s="16"/>
      <c r="I181" s="4" t="str">
        <f aca="false">IF(OR(G181="",H181=""),"",IF(AND(G181=0,H181="No"),"Yes","No"))</f>
        <v/>
      </c>
      <c r="J181" s="16"/>
      <c r="K181" s="16"/>
    </row>
    <row r="182" customFormat="false" ht="15" hidden="false" customHeight="false" outlineLevel="0" collapsed="false">
      <c r="A182" s="16"/>
      <c r="B182" s="16"/>
      <c r="C182" s="16"/>
      <c r="D182" s="16"/>
      <c r="E182" s="16"/>
      <c r="F182" s="16"/>
      <c r="G182" s="16"/>
      <c r="H182" s="16"/>
      <c r="I182" s="4" t="str">
        <f aca="false">IF(OR(G182="",H182=""),"",IF(AND(G182=0,H182="No"),"Yes","No"))</f>
        <v/>
      </c>
      <c r="J182" s="16"/>
      <c r="K182" s="16"/>
    </row>
    <row r="183" customFormat="false" ht="15" hidden="false" customHeight="false" outlineLevel="0" collapsed="false">
      <c r="A183" s="16"/>
      <c r="B183" s="16"/>
      <c r="C183" s="16"/>
      <c r="D183" s="16"/>
      <c r="E183" s="16"/>
      <c r="F183" s="16"/>
      <c r="G183" s="16"/>
      <c r="H183" s="16"/>
      <c r="I183" s="4" t="str">
        <f aca="false">IF(OR(G183="",H183=""),"",IF(AND(G183=0,H183="No"),"Yes","No"))</f>
        <v/>
      </c>
      <c r="J183" s="16"/>
      <c r="K183" s="16"/>
    </row>
    <row r="184" customFormat="false" ht="15" hidden="false" customHeight="false" outlineLevel="0" collapsed="false">
      <c r="A184" s="16"/>
      <c r="B184" s="16"/>
      <c r="C184" s="16"/>
      <c r="D184" s="16"/>
      <c r="E184" s="16"/>
      <c r="F184" s="16"/>
      <c r="G184" s="16"/>
      <c r="H184" s="16"/>
      <c r="I184" s="4" t="str">
        <f aca="false">IF(OR(G184="",H184=""),"",IF(AND(G184=0,H184="No"),"Yes","No"))</f>
        <v/>
      </c>
      <c r="J184" s="16"/>
      <c r="K184" s="16"/>
    </row>
    <row r="185" customFormat="false" ht="15" hidden="false" customHeight="false" outlineLevel="0" collapsed="false">
      <c r="A185" s="16"/>
      <c r="B185" s="16"/>
      <c r="C185" s="16"/>
      <c r="D185" s="16"/>
      <c r="E185" s="16"/>
      <c r="F185" s="16"/>
      <c r="G185" s="16"/>
      <c r="H185" s="16"/>
      <c r="I185" s="4" t="str">
        <f aca="false">IF(OR(G185="",H185=""),"",IF(AND(G185=0,H185="No"),"Yes","No"))</f>
        <v/>
      </c>
      <c r="J185" s="16"/>
      <c r="K185" s="16"/>
    </row>
    <row r="186" customFormat="false" ht="15" hidden="false" customHeight="false" outlineLevel="0" collapsed="false">
      <c r="A186" s="16"/>
      <c r="B186" s="16"/>
      <c r="C186" s="16"/>
      <c r="D186" s="16"/>
      <c r="E186" s="16"/>
      <c r="F186" s="16"/>
      <c r="G186" s="16"/>
      <c r="H186" s="16"/>
      <c r="I186" s="4" t="str">
        <f aca="false">IF(OR(G186="",H186=""),"",IF(AND(G186=0,H186="No"),"Yes","No"))</f>
        <v/>
      </c>
      <c r="J186" s="16"/>
      <c r="K186" s="16"/>
    </row>
    <row r="187" customFormat="false" ht="15" hidden="false" customHeight="false" outlineLevel="0" collapsed="false">
      <c r="A187" s="16"/>
      <c r="B187" s="16"/>
      <c r="C187" s="16"/>
      <c r="D187" s="16"/>
      <c r="E187" s="16"/>
      <c r="F187" s="16"/>
      <c r="G187" s="16"/>
      <c r="H187" s="16"/>
      <c r="I187" s="4" t="str">
        <f aca="false">IF(OR(G187="",H187=""),"",IF(AND(G187=0,H187="No"),"Yes","No"))</f>
        <v/>
      </c>
      <c r="J187" s="16"/>
      <c r="K187" s="16"/>
    </row>
    <row r="188" customFormat="false" ht="15" hidden="false" customHeight="false" outlineLevel="0" collapsed="false">
      <c r="A188" s="16"/>
      <c r="B188" s="16"/>
      <c r="C188" s="16"/>
      <c r="D188" s="16"/>
      <c r="E188" s="16"/>
      <c r="F188" s="16"/>
      <c r="G188" s="16"/>
      <c r="H188" s="16"/>
      <c r="I188" s="4" t="str">
        <f aca="false">IF(OR(G188="",H188=""),"",IF(AND(G188=0,H188="No"),"Yes","No"))</f>
        <v/>
      </c>
      <c r="J188" s="16"/>
      <c r="K188" s="16"/>
    </row>
    <row r="189" customFormat="false" ht="15" hidden="false" customHeight="false" outlineLevel="0" collapsed="false">
      <c r="A189" s="16"/>
      <c r="B189" s="16"/>
      <c r="C189" s="16"/>
      <c r="D189" s="16"/>
      <c r="E189" s="16"/>
      <c r="F189" s="16"/>
      <c r="G189" s="16"/>
      <c r="H189" s="16"/>
      <c r="I189" s="4" t="str">
        <f aca="false">IF(OR(G189="",H189=""),"",IF(AND(G189=0,H189="No"),"Yes","No"))</f>
        <v/>
      </c>
      <c r="J189" s="16"/>
      <c r="K189" s="16"/>
    </row>
    <row r="190" customFormat="false" ht="15" hidden="false" customHeight="false" outlineLevel="0" collapsed="false">
      <c r="A190" s="16"/>
      <c r="B190" s="16"/>
      <c r="C190" s="16"/>
      <c r="D190" s="16"/>
      <c r="E190" s="16"/>
      <c r="F190" s="16"/>
      <c r="G190" s="16"/>
      <c r="H190" s="16"/>
      <c r="I190" s="4" t="str">
        <f aca="false">IF(OR(G190="",H190=""),"",IF(AND(G190=0,H190="No"),"Yes","No"))</f>
        <v/>
      </c>
      <c r="J190" s="16"/>
      <c r="K190" s="16"/>
    </row>
    <row r="191" customFormat="false" ht="15" hidden="false" customHeight="false" outlineLevel="0" collapsed="false">
      <c r="A191" s="16"/>
      <c r="B191" s="16"/>
      <c r="C191" s="16"/>
      <c r="D191" s="16"/>
      <c r="E191" s="16"/>
      <c r="F191" s="16"/>
      <c r="G191" s="16"/>
      <c r="H191" s="16"/>
      <c r="I191" s="4" t="str">
        <f aca="false">IF(OR(G191="",H191=""),"",IF(AND(G191=0,H191="No"),"Yes","No"))</f>
        <v/>
      </c>
      <c r="J191" s="16"/>
      <c r="K191" s="16"/>
    </row>
    <row r="192" customFormat="false" ht="15" hidden="false" customHeight="false" outlineLevel="0" collapsed="false">
      <c r="A192" s="16"/>
      <c r="B192" s="16"/>
      <c r="C192" s="16"/>
      <c r="D192" s="16"/>
      <c r="E192" s="16"/>
      <c r="F192" s="16"/>
      <c r="G192" s="16"/>
      <c r="H192" s="16"/>
      <c r="I192" s="4" t="str">
        <f aca="false">IF(OR(G192="",H192=""),"",IF(AND(G192=0,H192="No"),"Yes","No"))</f>
        <v/>
      </c>
      <c r="J192" s="16"/>
      <c r="K192" s="16"/>
    </row>
    <row r="193" customFormat="false" ht="15" hidden="false" customHeight="false" outlineLevel="0" collapsed="false">
      <c r="A193" s="16"/>
      <c r="B193" s="16"/>
      <c r="C193" s="16"/>
      <c r="D193" s="16"/>
      <c r="E193" s="16"/>
      <c r="F193" s="16"/>
      <c r="G193" s="16"/>
      <c r="H193" s="16"/>
      <c r="I193" s="4" t="str">
        <f aca="false">IF(OR(G193="",H193=""),"",IF(AND(G193=0,H193="No"),"Yes","No"))</f>
        <v/>
      </c>
      <c r="J193" s="16"/>
      <c r="K193" s="16"/>
    </row>
    <row r="194" customFormat="false" ht="15" hidden="false" customHeight="false" outlineLevel="0" collapsed="false">
      <c r="A194" s="16"/>
      <c r="B194" s="16"/>
      <c r="C194" s="16"/>
      <c r="D194" s="16"/>
      <c r="E194" s="16"/>
      <c r="F194" s="16"/>
      <c r="G194" s="16"/>
      <c r="H194" s="16"/>
      <c r="I194" s="4" t="str">
        <f aca="false">IF(OR(G194="",H194=""),"",IF(AND(G194=0,H194="No"),"Yes","No"))</f>
        <v/>
      </c>
      <c r="J194" s="16"/>
      <c r="K194" s="16"/>
    </row>
    <row r="195" customFormat="false" ht="15" hidden="false" customHeight="false" outlineLevel="0" collapsed="false">
      <c r="A195" s="16"/>
      <c r="B195" s="16"/>
      <c r="C195" s="16"/>
      <c r="D195" s="16"/>
      <c r="E195" s="16"/>
      <c r="F195" s="16"/>
      <c r="G195" s="16"/>
      <c r="H195" s="16"/>
      <c r="I195" s="4" t="str">
        <f aca="false">IF(OR(G195="",H195=""),"",IF(AND(G195=0,H195="No"),"Yes","No"))</f>
        <v/>
      </c>
      <c r="J195" s="16"/>
      <c r="K195" s="16"/>
    </row>
    <row r="196" customFormat="false" ht="15" hidden="false" customHeight="false" outlineLevel="0" collapsed="false">
      <c r="A196" s="16"/>
      <c r="B196" s="16"/>
      <c r="C196" s="16"/>
      <c r="D196" s="16"/>
      <c r="E196" s="16"/>
      <c r="F196" s="16"/>
      <c r="G196" s="16"/>
      <c r="H196" s="16"/>
      <c r="I196" s="4" t="str">
        <f aca="false">IF(OR(G196="",H196=""),"",IF(AND(G196=0,H196="No"),"Yes","No"))</f>
        <v/>
      </c>
      <c r="J196" s="16"/>
      <c r="K196" s="16"/>
    </row>
    <row r="197" customFormat="false" ht="15" hidden="false" customHeight="false" outlineLevel="0" collapsed="false">
      <c r="A197" s="16"/>
      <c r="B197" s="16"/>
      <c r="C197" s="16"/>
      <c r="D197" s="16"/>
      <c r="E197" s="16"/>
      <c r="F197" s="16"/>
      <c r="G197" s="16"/>
      <c r="H197" s="16"/>
      <c r="I197" s="4" t="str">
        <f aca="false">IF(OR(G197="",H197=""),"",IF(AND(G197=0,H197="No"),"Yes","No"))</f>
        <v/>
      </c>
      <c r="J197" s="16"/>
      <c r="K197" s="16"/>
    </row>
    <row r="198" customFormat="false" ht="15" hidden="false" customHeight="false" outlineLevel="0" collapsed="false">
      <c r="A198" s="16"/>
      <c r="B198" s="16"/>
      <c r="C198" s="16"/>
      <c r="D198" s="16"/>
      <c r="E198" s="16"/>
      <c r="F198" s="16"/>
      <c r="G198" s="16"/>
      <c r="H198" s="16"/>
      <c r="I198" s="4" t="str">
        <f aca="false">IF(OR(G198="",H198=""),"",IF(AND(G198=0,H198="No"),"Yes","No"))</f>
        <v/>
      </c>
      <c r="J198" s="16"/>
      <c r="K198" s="16"/>
    </row>
    <row r="199" customFormat="false" ht="15" hidden="false" customHeight="false" outlineLevel="0" collapsed="false">
      <c r="A199" s="16"/>
      <c r="B199" s="16"/>
      <c r="C199" s="16"/>
      <c r="D199" s="16"/>
      <c r="E199" s="16"/>
      <c r="F199" s="16"/>
      <c r="G199" s="16"/>
      <c r="H199" s="16"/>
      <c r="I199" s="4" t="str">
        <f aca="false">IF(OR(G199="",H199=""),"",IF(AND(G199=0,H199="No"),"Yes","No"))</f>
        <v/>
      </c>
      <c r="J199" s="16"/>
      <c r="K199" s="16"/>
    </row>
    <row r="200" customFormat="false" ht="15" hidden="false" customHeight="false" outlineLevel="0" collapsed="false">
      <c r="A200" s="16"/>
      <c r="B200" s="16"/>
      <c r="C200" s="16"/>
      <c r="D200" s="16"/>
      <c r="E200" s="16"/>
      <c r="F200" s="16"/>
      <c r="G200" s="16"/>
      <c r="H200" s="16"/>
      <c r="I200" s="4" t="str">
        <f aca="false">IF(OR(G200="",H200=""),"",IF(AND(G200=0,H200="No"),"Yes","No"))</f>
        <v/>
      </c>
      <c r="J200" s="16"/>
      <c r="K200" s="16"/>
    </row>
    <row r="201" customFormat="false" ht="15" hidden="false" customHeight="false" outlineLevel="0" collapsed="false">
      <c r="A201" s="16"/>
      <c r="B201" s="16"/>
      <c r="C201" s="16"/>
      <c r="D201" s="16"/>
      <c r="E201" s="16"/>
      <c r="F201" s="16"/>
      <c r="G201" s="16"/>
      <c r="H201" s="16"/>
      <c r="I201" s="4" t="str">
        <f aca="false">IF(OR(G201="",H201=""),"",IF(AND(G201=0,H201="No"),"Yes","No"))</f>
        <v/>
      </c>
      <c r="J201" s="16"/>
      <c r="K201" s="16"/>
    </row>
  </sheetData>
  <dataValidations count="4">
    <dataValidation allowBlank="true" errorStyle="stop" operator="between" showDropDown="false" showErrorMessage="false" showInputMessage="false" sqref="B2:B201" type="list">
      <formula1>"curl,raise,press"</formula1>
      <formula2>0</formula2>
    </dataValidation>
    <dataValidation allowBlank="true" errorStyle="stop" operator="between" showDropDown="false" showErrorMessage="false" showInputMessage="false" sqref="E2:E201" type="list">
      <formula1>"Yes,No"</formula1>
      <formula2>0</formula2>
    </dataValidation>
    <dataValidation allowBlank="true" errorStyle="stop" operator="between" showDropDown="false" showErrorMessage="false" showInputMessage="false" sqref="H2:H201" type="list">
      <formula1>"Yes,No"</formula1>
      <formula2>0</formula2>
    </dataValidation>
    <dataValidation allowBlank="true" errorStyle="stop" operator="between" showDropDown="false" showErrorMessage="false" showInputMessage="false" sqref="J2:J201" type="list">
      <formula1>"Yes,No,Example"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3" min="2" style="0" width="9"/>
    <col collapsed="false" customWidth="true" hidden="false" outlineLevel="0" max="9" min="4" style="0" width="11"/>
    <col collapsed="false" customWidth="true" hidden="false" outlineLevel="0" max="12" min="10" style="0" width="10"/>
    <col collapsed="false" customWidth="true" hidden="false" outlineLevel="0" max="13" min="13" style="0" width="11"/>
    <col collapsed="false" customWidth="true" hidden="false" outlineLevel="0" max="14" min="14" style="0" width="28"/>
  </cols>
  <sheetData>
    <row r="1" customFormat="false" ht="31.5" hidden="false" customHeight="true" outlineLevel="0" collapsed="false">
      <c r="A1" s="14" t="s">
        <v>38</v>
      </c>
      <c r="B1" s="14" t="s">
        <v>87</v>
      </c>
      <c r="C1" s="14" t="s">
        <v>41</v>
      </c>
      <c r="D1" s="14" t="s">
        <v>88</v>
      </c>
      <c r="E1" s="14" t="s">
        <v>89</v>
      </c>
      <c r="F1" s="14" t="s">
        <v>90</v>
      </c>
      <c r="G1" s="14" t="s">
        <v>72</v>
      </c>
      <c r="H1" s="14" t="s">
        <v>91</v>
      </c>
      <c r="I1" s="14" t="s">
        <v>92</v>
      </c>
      <c r="J1" s="14" t="s">
        <v>93</v>
      </c>
      <c r="K1" s="14" t="s">
        <v>74</v>
      </c>
      <c r="L1" s="14" t="s">
        <v>50</v>
      </c>
      <c r="M1" s="14" t="s">
        <v>94</v>
      </c>
      <c r="N1" s="14" t="s">
        <v>57</v>
      </c>
    </row>
    <row r="2" customFormat="false" ht="15" hidden="false" customHeight="false" outlineLevel="0" collapsed="false">
      <c r="A2" s="15" t="s">
        <v>58</v>
      </c>
      <c r="B2" s="15" t="n">
        <v>1</v>
      </c>
      <c r="C2" s="15" t="s">
        <v>61</v>
      </c>
      <c r="D2" s="15" t="s">
        <v>95</v>
      </c>
      <c r="E2" s="15" t="n">
        <v>2.1</v>
      </c>
      <c r="F2" s="15" t="n">
        <v>2.32</v>
      </c>
      <c r="G2" s="4" t="n">
        <f aca="false">IF(OR(E2="",F2=""),"",F2-E2)</f>
        <v>0.22</v>
      </c>
      <c r="H2" s="4" t="str">
        <f aca="false">IF(OR(E2="",D2="partial"),"",IF(F2="","No (missed)",IF(ABS(G2)&lt;=0.5,"Yes","No")))</f>
        <v>Yes</v>
      </c>
      <c r="I2" s="15" t="s">
        <v>77</v>
      </c>
      <c r="J2" s="15"/>
      <c r="K2" s="15" t="s">
        <v>77</v>
      </c>
      <c r="L2" s="15" t="s">
        <v>64</v>
      </c>
      <c r="M2" s="15" t="s">
        <v>96</v>
      </c>
      <c r="N2" s="15" t="s">
        <v>66</v>
      </c>
    </row>
    <row r="3" customFormat="false" ht="15" hidden="false" customHeight="false" outlineLevel="0" collapsed="false">
      <c r="A3" s="16"/>
      <c r="B3" s="16"/>
      <c r="C3" s="16"/>
      <c r="D3" s="16"/>
      <c r="E3" s="16"/>
      <c r="F3" s="16"/>
      <c r="G3" s="4" t="str">
        <f aca="false">IF(OR(E3="",F3=""),"",F3-E3)</f>
        <v/>
      </c>
      <c r="H3" s="4" t="str">
        <f aca="false">IF(OR(E3="",D3="partial"),"",IF(F3="","No (missed)",IF(ABS(G3)&lt;=0.5,"Yes","No")))</f>
        <v/>
      </c>
      <c r="I3" s="16"/>
      <c r="J3" s="16"/>
      <c r="K3" s="16"/>
      <c r="L3" s="16"/>
      <c r="M3" s="16"/>
      <c r="N3" s="16"/>
    </row>
    <row r="4" customFormat="false" ht="15" hidden="false" customHeight="false" outlineLevel="0" collapsed="false">
      <c r="A4" s="16"/>
      <c r="B4" s="16"/>
      <c r="C4" s="16"/>
      <c r="D4" s="16"/>
      <c r="E4" s="16"/>
      <c r="F4" s="16"/>
      <c r="G4" s="4" t="str">
        <f aca="false">IF(OR(E4="",F4=""),"",F4-E4)</f>
        <v/>
      </c>
      <c r="H4" s="4" t="str">
        <f aca="false">IF(OR(E4="",D4="partial"),"",IF(F4="","No (missed)",IF(ABS(G4)&lt;=0.5,"Yes","No")))</f>
        <v/>
      </c>
      <c r="I4" s="16"/>
      <c r="J4" s="16"/>
      <c r="K4" s="16"/>
      <c r="L4" s="16"/>
      <c r="M4" s="16"/>
      <c r="N4" s="16"/>
    </row>
    <row r="5" customFormat="false" ht="15" hidden="false" customHeight="false" outlineLevel="0" collapsed="false">
      <c r="A5" s="16"/>
      <c r="B5" s="16"/>
      <c r="C5" s="16"/>
      <c r="D5" s="16"/>
      <c r="E5" s="16"/>
      <c r="F5" s="16"/>
      <c r="G5" s="4" t="str">
        <f aca="false">IF(OR(E5="",F5=""),"",F5-E5)</f>
        <v/>
      </c>
      <c r="H5" s="4" t="str">
        <f aca="false">IF(OR(E5="",D5="partial"),"",IF(F5="","No (missed)",IF(ABS(G5)&lt;=0.5,"Yes","No")))</f>
        <v/>
      </c>
      <c r="I5" s="16"/>
      <c r="J5" s="16"/>
      <c r="K5" s="16"/>
      <c r="L5" s="16"/>
      <c r="M5" s="16"/>
      <c r="N5" s="16"/>
    </row>
    <row r="6" customFormat="false" ht="15" hidden="false" customHeight="false" outlineLevel="0" collapsed="false">
      <c r="A6" s="16"/>
      <c r="B6" s="16"/>
      <c r="C6" s="16"/>
      <c r="D6" s="16"/>
      <c r="E6" s="16"/>
      <c r="F6" s="16"/>
      <c r="G6" s="4" t="str">
        <f aca="false">IF(OR(E6="",F6=""),"",F6-E6)</f>
        <v/>
      </c>
      <c r="H6" s="4" t="str">
        <f aca="false">IF(OR(E6="",D6="partial"),"",IF(F6="","No (missed)",IF(ABS(G6)&lt;=0.5,"Yes","No")))</f>
        <v/>
      </c>
      <c r="I6" s="16"/>
      <c r="J6" s="16"/>
      <c r="K6" s="16"/>
      <c r="L6" s="16"/>
      <c r="M6" s="16"/>
      <c r="N6" s="16"/>
    </row>
    <row r="7" customFormat="false" ht="15" hidden="false" customHeight="false" outlineLevel="0" collapsed="false">
      <c r="A7" s="16"/>
      <c r="B7" s="16"/>
      <c r="C7" s="16"/>
      <c r="D7" s="16"/>
      <c r="E7" s="16"/>
      <c r="F7" s="16"/>
      <c r="G7" s="4" t="str">
        <f aca="false">IF(OR(E7="",F7=""),"",F7-E7)</f>
        <v/>
      </c>
      <c r="H7" s="4" t="str">
        <f aca="false">IF(OR(E7="",D7="partial"),"",IF(F7="","No (missed)",IF(ABS(G7)&lt;=0.5,"Yes","No")))</f>
        <v/>
      </c>
      <c r="I7" s="16"/>
      <c r="J7" s="16"/>
      <c r="K7" s="16"/>
      <c r="L7" s="16"/>
      <c r="M7" s="16"/>
      <c r="N7" s="16"/>
    </row>
    <row r="8" customFormat="false" ht="15" hidden="false" customHeight="false" outlineLevel="0" collapsed="false">
      <c r="A8" s="16"/>
      <c r="B8" s="16"/>
      <c r="C8" s="16"/>
      <c r="D8" s="16"/>
      <c r="E8" s="16"/>
      <c r="F8" s="16"/>
      <c r="G8" s="4" t="str">
        <f aca="false">IF(OR(E8="",F8=""),"",F8-E8)</f>
        <v/>
      </c>
      <c r="H8" s="4" t="str">
        <f aca="false">IF(OR(E8="",D8="partial"),"",IF(F8="","No (missed)",IF(ABS(G8)&lt;=0.5,"Yes","No")))</f>
        <v/>
      </c>
      <c r="I8" s="16"/>
      <c r="J8" s="16"/>
      <c r="K8" s="16"/>
      <c r="L8" s="16"/>
      <c r="M8" s="16"/>
      <c r="N8" s="16"/>
    </row>
    <row r="9" customFormat="false" ht="15" hidden="false" customHeight="false" outlineLevel="0" collapsed="false">
      <c r="A9" s="16"/>
      <c r="B9" s="16"/>
      <c r="C9" s="16"/>
      <c r="D9" s="16"/>
      <c r="E9" s="16"/>
      <c r="F9" s="16"/>
      <c r="G9" s="4" t="str">
        <f aca="false">IF(OR(E9="",F9=""),"",F9-E9)</f>
        <v/>
      </c>
      <c r="H9" s="4" t="str">
        <f aca="false">IF(OR(E9="",D9="partial"),"",IF(F9="","No (missed)",IF(ABS(G9)&lt;=0.5,"Yes","No")))</f>
        <v/>
      </c>
      <c r="I9" s="16"/>
      <c r="J9" s="16"/>
      <c r="K9" s="16"/>
      <c r="L9" s="16"/>
      <c r="M9" s="16"/>
      <c r="N9" s="16"/>
    </row>
    <row r="10" customFormat="false" ht="15" hidden="false" customHeight="false" outlineLevel="0" collapsed="false">
      <c r="A10" s="16"/>
      <c r="B10" s="16"/>
      <c r="C10" s="16"/>
      <c r="D10" s="16"/>
      <c r="E10" s="16"/>
      <c r="F10" s="16"/>
      <c r="G10" s="4" t="str">
        <f aca="false">IF(OR(E10="",F10=""),"",F10-E10)</f>
        <v/>
      </c>
      <c r="H10" s="4" t="str">
        <f aca="false">IF(OR(E10="",D10="partial"),"",IF(F10="","No (missed)",IF(ABS(G10)&lt;=0.5,"Yes","No")))</f>
        <v/>
      </c>
      <c r="I10" s="16"/>
      <c r="J10" s="16"/>
      <c r="K10" s="16"/>
      <c r="L10" s="16"/>
      <c r="M10" s="16"/>
      <c r="N10" s="16"/>
    </row>
    <row r="11" customFormat="false" ht="15" hidden="false" customHeight="false" outlineLevel="0" collapsed="false">
      <c r="A11" s="16"/>
      <c r="B11" s="16"/>
      <c r="C11" s="16"/>
      <c r="D11" s="16"/>
      <c r="E11" s="16"/>
      <c r="F11" s="16"/>
      <c r="G11" s="4" t="str">
        <f aca="false">IF(OR(E11="",F11=""),"",F11-E11)</f>
        <v/>
      </c>
      <c r="H11" s="4" t="str">
        <f aca="false">IF(OR(E11="",D11="partial"),"",IF(F11="","No (missed)",IF(ABS(G11)&lt;=0.5,"Yes","No")))</f>
        <v/>
      </c>
      <c r="I11" s="16"/>
      <c r="J11" s="16"/>
      <c r="K11" s="16"/>
      <c r="L11" s="16"/>
      <c r="M11" s="16"/>
      <c r="N11" s="16"/>
    </row>
    <row r="12" customFormat="false" ht="15" hidden="false" customHeight="false" outlineLevel="0" collapsed="false">
      <c r="A12" s="16"/>
      <c r="B12" s="16"/>
      <c r="C12" s="16"/>
      <c r="D12" s="16"/>
      <c r="E12" s="16"/>
      <c r="F12" s="16"/>
      <c r="G12" s="4" t="str">
        <f aca="false">IF(OR(E12="",F12=""),"",F12-E12)</f>
        <v/>
      </c>
      <c r="H12" s="4" t="str">
        <f aca="false">IF(OR(E12="",D12="partial"),"",IF(F12="","No (missed)",IF(ABS(G12)&lt;=0.5,"Yes","No")))</f>
        <v/>
      </c>
      <c r="I12" s="16"/>
      <c r="J12" s="16"/>
      <c r="K12" s="16"/>
      <c r="L12" s="16"/>
      <c r="M12" s="16"/>
      <c r="N12" s="16"/>
    </row>
    <row r="13" customFormat="false" ht="15" hidden="false" customHeight="false" outlineLevel="0" collapsed="false">
      <c r="A13" s="16"/>
      <c r="B13" s="16"/>
      <c r="C13" s="16"/>
      <c r="D13" s="16"/>
      <c r="E13" s="16"/>
      <c r="F13" s="16"/>
      <c r="G13" s="4" t="str">
        <f aca="false">IF(OR(E13="",F13=""),"",F13-E13)</f>
        <v/>
      </c>
      <c r="H13" s="4" t="str">
        <f aca="false">IF(OR(E13="",D13="partial"),"",IF(F13="","No (missed)",IF(ABS(G13)&lt;=0.5,"Yes","No")))</f>
        <v/>
      </c>
      <c r="I13" s="16"/>
      <c r="J13" s="16"/>
      <c r="K13" s="16"/>
      <c r="L13" s="16"/>
      <c r="M13" s="16"/>
      <c r="N13" s="16"/>
    </row>
    <row r="14" customFormat="false" ht="15" hidden="false" customHeight="false" outlineLevel="0" collapsed="false">
      <c r="A14" s="16"/>
      <c r="B14" s="16"/>
      <c r="C14" s="16"/>
      <c r="D14" s="16"/>
      <c r="E14" s="16"/>
      <c r="F14" s="16"/>
      <c r="G14" s="4" t="str">
        <f aca="false">IF(OR(E14="",F14=""),"",F14-E14)</f>
        <v/>
      </c>
      <c r="H14" s="4" t="str">
        <f aca="false">IF(OR(E14="",D14="partial"),"",IF(F14="","No (missed)",IF(ABS(G14)&lt;=0.5,"Yes","No")))</f>
        <v/>
      </c>
      <c r="I14" s="16"/>
      <c r="J14" s="16"/>
      <c r="K14" s="16"/>
      <c r="L14" s="16"/>
      <c r="M14" s="16"/>
      <c r="N14" s="16"/>
    </row>
    <row r="15" customFormat="false" ht="15" hidden="false" customHeight="false" outlineLevel="0" collapsed="false">
      <c r="A15" s="16"/>
      <c r="B15" s="16"/>
      <c r="C15" s="16"/>
      <c r="D15" s="16"/>
      <c r="E15" s="16"/>
      <c r="F15" s="16"/>
      <c r="G15" s="4" t="str">
        <f aca="false">IF(OR(E15="",F15=""),"",F15-E15)</f>
        <v/>
      </c>
      <c r="H15" s="4" t="str">
        <f aca="false">IF(OR(E15="",D15="partial"),"",IF(F15="","No (missed)",IF(ABS(G15)&lt;=0.5,"Yes","No")))</f>
        <v/>
      </c>
      <c r="I15" s="16"/>
      <c r="J15" s="16"/>
      <c r="K15" s="16"/>
      <c r="L15" s="16"/>
      <c r="M15" s="16"/>
      <c r="N15" s="16"/>
    </row>
    <row r="16" customFormat="false" ht="15" hidden="false" customHeight="false" outlineLevel="0" collapsed="false">
      <c r="A16" s="16"/>
      <c r="B16" s="16"/>
      <c r="C16" s="16"/>
      <c r="D16" s="16"/>
      <c r="E16" s="16"/>
      <c r="F16" s="16"/>
      <c r="G16" s="4" t="str">
        <f aca="false">IF(OR(E16="",F16=""),"",F16-E16)</f>
        <v/>
      </c>
      <c r="H16" s="4" t="str">
        <f aca="false">IF(OR(E16="",D16="partial"),"",IF(F16="","No (missed)",IF(ABS(G16)&lt;=0.5,"Yes","No")))</f>
        <v/>
      </c>
      <c r="I16" s="16"/>
      <c r="J16" s="16"/>
      <c r="K16" s="16"/>
      <c r="L16" s="16"/>
      <c r="M16" s="16"/>
      <c r="N16" s="16"/>
    </row>
    <row r="17" customFormat="false" ht="15" hidden="false" customHeight="false" outlineLevel="0" collapsed="false">
      <c r="A17" s="16"/>
      <c r="B17" s="16"/>
      <c r="C17" s="16"/>
      <c r="D17" s="16"/>
      <c r="E17" s="16"/>
      <c r="F17" s="16"/>
      <c r="G17" s="4" t="str">
        <f aca="false">IF(OR(E17="",F17=""),"",F17-E17)</f>
        <v/>
      </c>
      <c r="H17" s="4" t="str">
        <f aca="false">IF(OR(E17="",D17="partial"),"",IF(F17="","No (missed)",IF(ABS(G17)&lt;=0.5,"Yes","No")))</f>
        <v/>
      </c>
      <c r="I17" s="16"/>
      <c r="J17" s="16"/>
      <c r="K17" s="16"/>
      <c r="L17" s="16"/>
      <c r="M17" s="16"/>
      <c r="N17" s="16"/>
    </row>
    <row r="18" customFormat="false" ht="15" hidden="false" customHeight="false" outlineLevel="0" collapsed="false">
      <c r="A18" s="16"/>
      <c r="B18" s="16"/>
      <c r="C18" s="16"/>
      <c r="D18" s="16"/>
      <c r="E18" s="16"/>
      <c r="F18" s="16"/>
      <c r="G18" s="4" t="str">
        <f aca="false">IF(OR(E18="",F18=""),"",F18-E18)</f>
        <v/>
      </c>
      <c r="H18" s="4" t="str">
        <f aca="false">IF(OR(E18="",D18="partial"),"",IF(F18="","No (missed)",IF(ABS(G18)&lt;=0.5,"Yes","No")))</f>
        <v/>
      </c>
      <c r="I18" s="16"/>
      <c r="J18" s="16"/>
      <c r="K18" s="16"/>
      <c r="L18" s="16"/>
      <c r="M18" s="16"/>
      <c r="N18" s="16"/>
    </row>
    <row r="19" customFormat="false" ht="15" hidden="false" customHeight="false" outlineLevel="0" collapsed="false">
      <c r="A19" s="16"/>
      <c r="B19" s="16"/>
      <c r="C19" s="16"/>
      <c r="D19" s="16"/>
      <c r="E19" s="16"/>
      <c r="F19" s="16"/>
      <c r="G19" s="4" t="str">
        <f aca="false">IF(OR(E19="",F19=""),"",F19-E19)</f>
        <v/>
      </c>
      <c r="H19" s="4" t="str">
        <f aca="false">IF(OR(E19="",D19="partial"),"",IF(F19="","No (missed)",IF(ABS(G19)&lt;=0.5,"Yes","No")))</f>
        <v/>
      </c>
      <c r="I19" s="16"/>
      <c r="J19" s="16"/>
      <c r="K19" s="16"/>
      <c r="L19" s="16"/>
      <c r="M19" s="16"/>
      <c r="N19" s="16"/>
    </row>
    <row r="20" customFormat="false" ht="15" hidden="false" customHeight="false" outlineLevel="0" collapsed="false">
      <c r="A20" s="16"/>
      <c r="B20" s="16"/>
      <c r="C20" s="16"/>
      <c r="D20" s="16"/>
      <c r="E20" s="16"/>
      <c r="F20" s="16"/>
      <c r="G20" s="4" t="str">
        <f aca="false">IF(OR(E20="",F20=""),"",F20-E20)</f>
        <v/>
      </c>
      <c r="H20" s="4" t="str">
        <f aca="false">IF(OR(E20="",D20="partial"),"",IF(F20="","No (missed)",IF(ABS(G20)&lt;=0.5,"Yes","No")))</f>
        <v/>
      </c>
      <c r="I20" s="16"/>
      <c r="J20" s="16"/>
      <c r="K20" s="16"/>
      <c r="L20" s="16"/>
      <c r="M20" s="16"/>
      <c r="N20" s="16"/>
    </row>
    <row r="21" customFormat="false" ht="15" hidden="false" customHeight="false" outlineLevel="0" collapsed="false">
      <c r="A21" s="16"/>
      <c r="B21" s="16"/>
      <c r="C21" s="16"/>
      <c r="D21" s="16"/>
      <c r="E21" s="16"/>
      <c r="F21" s="16"/>
      <c r="G21" s="4" t="str">
        <f aca="false">IF(OR(E21="",F21=""),"",F21-E21)</f>
        <v/>
      </c>
      <c r="H21" s="4" t="str">
        <f aca="false">IF(OR(E21="",D21="partial"),"",IF(F21="","No (missed)",IF(ABS(G21)&lt;=0.5,"Yes","No")))</f>
        <v/>
      </c>
      <c r="I21" s="16"/>
      <c r="J21" s="16"/>
      <c r="K21" s="16"/>
      <c r="L21" s="16"/>
      <c r="M21" s="16"/>
      <c r="N21" s="16"/>
    </row>
    <row r="22" customFormat="false" ht="15" hidden="false" customHeight="false" outlineLevel="0" collapsed="false">
      <c r="A22" s="16"/>
      <c r="B22" s="16"/>
      <c r="C22" s="16"/>
      <c r="D22" s="16"/>
      <c r="E22" s="16"/>
      <c r="F22" s="16"/>
      <c r="G22" s="4" t="str">
        <f aca="false">IF(OR(E22="",F22=""),"",F22-E22)</f>
        <v/>
      </c>
      <c r="H22" s="4" t="str">
        <f aca="false">IF(OR(E22="",D22="partial"),"",IF(F22="","No (missed)",IF(ABS(G22)&lt;=0.5,"Yes","No")))</f>
        <v/>
      </c>
      <c r="I22" s="16"/>
      <c r="J22" s="16"/>
      <c r="K22" s="16"/>
      <c r="L22" s="16"/>
      <c r="M22" s="16"/>
      <c r="N22" s="16"/>
    </row>
    <row r="23" customFormat="false" ht="15" hidden="false" customHeight="false" outlineLevel="0" collapsed="false">
      <c r="A23" s="16"/>
      <c r="B23" s="16"/>
      <c r="C23" s="16"/>
      <c r="D23" s="16"/>
      <c r="E23" s="16"/>
      <c r="F23" s="16"/>
      <c r="G23" s="4" t="str">
        <f aca="false">IF(OR(E23="",F23=""),"",F23-E23)</f>
        <v/>
      </c>
      <c r="H23" s="4" t="str">
        <f aca="false">IF(OR(E23="",D23="partial"),"",IF(F23="","No (missed)",IF(ABS(G23)&lt;=0.5,"Yes","No")))</f>
        <v/>
      </c>
      <c r="I23" s="16"/>
      <c r="J23" s="16"/>
      <c r="K23" s="16"/>
      <c r="L23" s="16"/>
      <c r="M23" s="16"/>
      <c r="N23" s="16"/>
    </row>
    <row r="24" customFormat="false" ht="15" hidden="false" customHeight="false" outlineLevel="0" collapsed="false">
      <c r="A24" s="16"/>
      <c r="B24" s="16"/>
      <c r="C24" s="16"/>
      <c r="D24" s="16"/>
      <c r="E24" s="16"/>
      <c r="F24" s="16"/>
      <c r="G24" s="4" t="str">
        <f aca="false">IF(OR(E24="",F24=""),"",F24-E24)</f>
        <v/>
      </c>
      <c r="H24" s="4" t="str">
        <f aca="false">IF(OR(E24="",D24="partial"),"",IF(F24="","No (missed)",IF(ABS(G24)&lt;=0.5,"Yes","No")))</f>
        <v/>
      </c>
      <c r="I24" s="16"/>
      <c r="J24" s="16"/>
      <c r="K24" s="16"/>
      <c r="L24" s="16"/>
      <c r="M24" s="16"/>
      <c r="N24" s="16"/>
    </row>
    <row r="25" customFormat="false" ht="15" hidden="false" customHeight="false" outlineLevel="0" collapsed="false">
      <c r="A25" s="16"/>
      <c r="B25" s="16"/>
      <c r="C25" s="16"/>
      <c r="D25" s="16"/>
      <c r="E25" s="16"/>
      <c r="F25" s="16"/>
      <c r="G25" s="4" t="str">
        <f aca="false">IF(OR(E25="",F25=""),"",F25-E25)</f>
        <v/>
      </c>
      <c r="H25" s="4" t="str">
        <f aca="false">IF(OR(E25="",D25="partial"),"",IF(F25="","No (missed)",IF(ABS(G25)&lt;=0.5,"Yes","No")))</f>
        <v/>
      </c>
      <c r="I25" s="16"/>
      <c r="J25" s="16"/>
      <c r="K25" s="16"/>
      <c r="L25" s="16"/>
      <c r="M25" s="16"/>
      <c r="N25" s="16"/>
    </row>
    <row r="26" customFormat="false" ht="15" hidden="false" customHeight="false" outlineLevel="0" collapsed="false">
      <c r="A26" s="16"/>
      <c r="B26" s="16"/>
      <c r="C26" s="16"/>
      <c r="D26" s="16"/>
      <c r="E26" s="16"/>
      <c r="F26" s="16"/>
      <c r="G26" s="4" t="str">
        <f aca="false">IF(OR(E26="",F26=""),"",F26-E26)</f>
        <v/>
      </c>
      <c r="H26" s="4" t="str">
        <f aca="false">IF(OR(E26="",D26="partial"),"",IF(F26="","No (missed)",IF(ABS(G26)&lt;=0.5,"Yes","No")))</f>
        <v/>
      </c>
      <c r="I26" s="16"/>
      <c r="J26" s="16"/>
      <c r="K26" s="16"/>
      <c r="L26" s="16"/>
      <c r="M26" s="16"/>
      <c r="N26" s="16"/>
    </row>
    <row r="27" customFormat="false" ht="15" hidden="false" customHeight="false" outlineLevel="0" collapsed="false">
      <c r="A27" s="16"/>
      <c r="B27" s="16"/>
      <c r="C27" s="16"/>
      <c r="D27" s="16"/>
      <c r="E27" s="16"/>
      <c r="F27" s="16"/>
      <c r="G27" s="4" t="str">
        <f aca="false">IF(OR(E27="",F27=""),"",F27-E27)</f>
        <v/>
      </c>
      <c r="H27" s="4" t="str">
        <f aca="false">IF(OR(E27="",D27="partial"),"",IF(F27="","No (missed)",IF(ABS(G27)&lt;=0.5,"Yes","No")))</f>
        <v/>
      </c>
      <c r="I27" s="16"/>
      <c r="J27" s="16"/>
      <c r="K27" s="16"/>
      <c r="L27" s="16"/>
      <c r="M27" s="16"/>
      <c r="N27" s="16"/>
    </row>
    <row r="28" customFormat="false" ht="15" hidden="false" customHeight="false" outlineLevel="0" collapsed="false">
      <c r="A28" s="16"/>
      <c r="B28" s="16"/>
      <c r="C28" s="16"/>
      <c r="D28" s="16"/>
      <c r="E28" s="16"/>
      <c r="F28" s="16"/>
      <c r="G28" s="4" t="str">
        <f aca="false">IF(OR(E28="",F28=""),"",F28-E28)</f>
        <v/>
      </c>
      <c r="H28" s="4" t="str">
        <f aca="false">IF(OR(E28="",D28="partial"),"",IF(F28="","No (missed)",IF(ABS(G28)&lt;=0.5,"Yes","No")))</f>
        <v/>
      </c>
      <c r="I28" s="16"/>
      <c r="J28" s="16"/>
      <c r="K28" s="16"/>
      <c r="L28" s="16"/>
      <c r="M28" s="16"/>
      <c r="N28" s="16"/>
    </row>
    <row r="29" customFormat="false" ht="15" hidden="false" customHeight="false" outlineLevel="0" collapsed="false">
      <c r="A29" s="16"/>
      <c r="B29" s="16"/>
      <c r="C29" s="16"/>
      <c r="D29" s="16"/>
      <c r="E29" s="16"/>
      <c r="F29" s="16"/>
      <c r="G29" s="4" t="str">
        <f aca="false">IF(OR(E29="",F29=""),"",F29-E29)</f>
        <v/>
      </c>
      <c r="H29" s="4" t="str">
        <f aca="false">IF(OR(E29="",D29="partial"),"",IF(F29="","No (missed)",IF(ABS(G29)&lt;=0.5,"Yes","No")))</f>
        <v/>
      </c>
      <c r="I29" s="16"/>
      <c r="J29" s="16"/>
      <c r="K29" s="16"/>
      <c r="L29" s="16"/>
      <c r="M29" s="16"/>
      <c r="N29" s="16"/>
    </row>
    <row r="30" customFormat="false" ht="15" hidden="false" customHeight="false" outlineLevel="0" collapsed="false">
      <c r="A30" s="16"/>
      <c r="B30" s="16"/>
      <c r="C30" s="16"/>
      <c r="D30" s="16"/>
      <c r="E30" s="16"/>
      <c r="F30" s="16"/>
      <c r="G30" s="4" t="str">
        <f aca="false">IF(OR(E30="",F30=""),"",F30-E30)</f>
        <v/>
      </c>
      <c r="H30" s="4" t="str">
        <f aca="false">IF(OR(E30="",D30="partial"),"",IF(F30="","No (missed)",IF(ABS(G30)&lt;=0.5,"Yes","No")))</f>
        <v/>
      </c>
      <c r="I30" s="16"/>
      <c r="J30" s="16"/>
      <c r="K30" s="16"/>
      <c r="L30" s="16"/>
      <c r="M30" s="16"/>
      <c r="N30" s="16"/>
    </row>
    <row r="31" customFormat="false" ht="15" hidden="false" customHeight="false" outlineLevel="0" collapsed="false">
      <c r="A31" s="16"/>
      <c r="B31" s="16"/>
      <c r="C31" s="16"/>
      <c r="D31" s="16"/>
      <c r="E31" s="16"/>
      <c r="F31" s="16"/>
      <c r="G31" s="4" t="str">
        <f aca="false">IF(OR(E31="",F31=""),"",F31-E31)</f>
        <v/>
      </c>
      <c r="H31" s="4" t="str">
        <f aca="false">IF(OR(E31="",D31="partial"),"",IF(F31="","No (missed)",IF(ABS(G31)&lt;=0.5,"Yes","No")))</f>
        <v/>
      </c>
      <c r="I31" s="16"/>
      <c r="J31" s="16"/>
      <c r="K31" s="16"/>
      <c r="L31" s="16"/>
      <c r="M31" s="16"/>
      <c r="N31" s="16"/>
    </row>
    <row r="32" customFormat="false" ht="15" hidden="false" customHeight="false" outlineLevel="0" collapsed="false">
      <c r="A32" s="16"/>
      <c r="B32" s="16"/>
      <c r="C32" s="16"/>
      <c r="D32" s="16"/>
      <c r="E32" s="16"/>
      <c r="F32" s="16"/>
      <c r="G32" s="4" t="str">
        <f aca="false">IF(OR(E32="",F32=""),"",F32-E32)</f>
        <v/>
      </c>
      <c r="H32" s="4" t="str">
        <f aca="false">IF(OR(E32="",D32="partial"),"",IF(F32="","No (missed)",IF(ABS(G32)&lt;=0.5,"Yes","No")))</f>
        <v/>
      </c>
      <c r="I32" s="16"/>
      <c r="J32" s="16"/>
      <c r="K32" s="16"/>
      <c r="L32" s="16"/>
      <c r="M32" s="16"/>
      <c r="N32" s="16"/>
    </row>
    <row r="33" customFormat="false" ht="15" hidden="false" customHeight="false" outlineLevel="0" collapsed="false">
      <c r="A33" s="16"/>
      <c r="B33" s="16"/>
      <c r="C33" s="16"/>
      <c r="D33" s="16"/>
      <c r="E33" s="16"/>
      <c r="F33" s="16"/>
      <c r="G33" s="4" t="str">
        <f aca="false">IF(OR(E33="",F33=""),"",F33-E33)</f>
        <v/>
      </c>
      <c r="H33" s="4" t="str">
        <f aca="false">IF(OR(E33="",D33="partial"),"",IF(F33="","No (missed)",IF(ABS(G33)&lt;=0.5,"Yes","No")))</f>
        <v/>
      </c>
      <c r="I33" s="16"/>
      <c r="J33" s="16"/>
      <c r="K33" s="16"/>
      <c r="L33" s="16"/>
      <c r="M33" s="16"/>
      <c r="N33" s="16"/>
    </row>
    <row r="34" customFormat="false" ht="15" hidden="false" customHeight="false" outlineLevel="0" collapsed="false">
      <c r="A34" s="16"/>
      <c r="B34" s="16"/>
      <c r="C34" s="16"/>
      <c r="D34" s="16"/>
      <c r="E34" s="16"/>
      <c r="F34" s="16"/>
      <c r="G34" s="4" t="str">
        <f aca="false">IF(OR(E34="",F34=""),"",F34-E34)</f>
        <v/>
      </c>
      <c r="H34" s="4" t="str">
        <f aca="false">IF(OR(E34="",D34="partial"),"",IF(F34="","No (missed)",IF(ABS(G34)&lt;=0.5,"Yes","No")))</f>
        <v/>
      </c>
      <c r="I34" s="16"/>
      <c r="J34" s="16"/>
      <c r="K34" s="16"/>
      <c r="L34" s="16"/>
      <c r="M34" s="16"/>
      <c r="N34" s="16"/>
    </row>
    <row r="35" customFormat="false" ht="15" hidden="false" customHeight="false" outlineLevel="0" collapsed="false">
      <c r="A35" s="16"/>
      <c r="B35" s="16"/>
      <c r="C35" s="16"/>
      <c r="D35" s="16"/>
      <c r="E35" s="16"/>
      <c r="F35" s="16"/>
      <c r="G35" s="4" t="str">
        <f aca="false">IF(OR(E35="",F35=""),"",F35-E35)</f>
        <v/>
      </c>
      <c r="H35" s="4" t="str">
        <f aca="false">IF(OR(E35="",D35="partial"),"",IF(F35="","No (missed)",IF(ABS(G35)&lt;=0.5,"Yes","No")))</f>
        <v/>
      </c>
      <c r="I35" s="16"/>
      <c r="J35" s="16"/>
      <c r="K35" s="16"/>
      <c r="L35" s="16"/>
      <c r="M35" s="16"/>
      <c r="N35" s="16"/>
    </row>
    <row r="36" customFormat="false" ht="15" hidden="false" customHeight="false" outlineLevel="0" collapsed="false">
      <c r="A36" s="16"/>
      <c r="B36" s="16"/>
      <c r="C36" s="16"/>
      <c r="D36" s="16"/>
      <c r="E36" s="16"/>
      <c r="F36" s="16"/>
      <c r="G36" s="4" t="str">
        <f aca="false">IF(OR(E36="",F36=""),"",F36-E36)</f>
        <v/>
      </c>
      <c r="H36" s="4" t="str">
        <f aca="false">IF(OR(E36="",D36="partial"),"",IF(F36="","No (missed)",IF(ABS(G36)&lt;=0.5,"Yes","No")))</f>
        <v/>
      </c>
      <c r="I36" s="16"/>
      <c r="J36" s="16"/>
      <c r="K36" s="16"/>
      <c r="L36" s="16"/>
      <c r="M36" s="16"/>
      <c r="N36" s="16"/>
    </row>
    <row r="37" customFormat="false" ht="15" hidden="false" customHeight="false" outlineLevel="0" collapsed="false">
      <c r="A37" s="16"/>
      <c r="B37" s="16"/>
      <c r="C37" s="16"/>
      <c r="D37" s="16"/>
      <c r="E37" s="16"/>
      <c r="F37" s="16"/>
      <c r="G37" s="4" t="str">
        <f aca="false">IF(OR(E37="",F37=""),"",F37-E37)</f>
        <v/>
      </c>
      <c r="H37" s="4" t="str">
        <f aca="false">IF(OR(E37="",D37="partial"),"",IF(F37="","No (missed)",IF(ABS(G37)&lt;=0.5,"Yes","No")))</f>
        <v/>
      </c>
      <c r="I37" s="16"/>
      <c r="J37" s="16"/>
      <c r="K37" s="16"/>
      <c r="L37" s="16"/>
      <c r="M37" s="16"/>
      <c r="N37" s="16"/>
    </row>
    <row r="38" customFormat="false" ht="15" hidden="false" customHeight="false" outlineLevel="0" collapsed="false">
      <c r="A38" s="16"/>
      <c r="B38" s="16"/>
      <c r="C38" s="16"/>
      <c r="D38" s="16"/>
      <c r="E38" s="16"/>
      <c r="F38" s="16"/>
      <c r="G38" s="4" t="str">
        <f aca="false">IF(OR(E38="",F38=""),"",F38-E38)</f>
        <v/>
      </c>
      <c r="H38" s="4" t="str">
        <f aca="false">IF(OR(E38="",D38="partial"),"",IF(F38="","No (missed)",IF(ABS(G38)&lt;=0.5,"Yes","No")))</f>
        <v/>
      </c>
      <c r="I38" s="16"/>
      <c r="J38" s="16"/>
      <c r="K38" s="16"/>
      <c r="L38" s="16"/>
      <c r="M38" s="16"/>
      <c r="N38" s="16"/>
    </row>
    <row r="39" customFormat="false" ht="15" hidden="false" customHeight="false" outlineLevel="0" collapsed="false">
      <c r="A39" s="16"/>
      <c r="B39" s="16"/>
      <c r="C39" s="16"/>
      <c r="D39" s="16"/>
      <c r="E39" s="16"/>
      <c r="F39" s="16"/>
      <c r="G39" s="4" t="str">
        <f aca="false">IF(OR(E39="",F39=""),"",F39-E39)</f>
        <v/>
      </c>
      <c r="H39" s="4" t="str">
        <f aca="false">IF(OR(E39="",D39="partial"),"",IF(F39="","No (missed)",IF(ABS(G39)&lt;=0.5,"Yes","No")))</f>
        <v/>
      </c>
      <c r="I39" s="16"/>
      <c r="J39" s="16"/>
      <c r="K39" s="16"/>
      <c r="L39" s="16"/>
      <c r="M39" s="16"/>
      <c r="N39" s="16"/>
    </row>
    <row r="40" customFormat="false" ht="15" hidden="false" customHeight="false" outlineLevel="0" collapsed="false">
      <c r="A40" s="16"/>
      <c r="B40" s="16"/>
      <c r="C40" s="16"/>
      <c r="D40" s="16"/>
      <c r="E40" s="16"/>
      <c r="F40" s="16"/>
      <c r="G40" s="4" t="str">
        <f aca="false">IF(OR(E40="",F40=""),"",F40-E40)</f>
        <v/>
      </c>
      <c r="H40" s="4" t="str">
        <f aca="false">IF(OR(E40="",D40="partial"),"",IF(F40="","No (missed)",IF(ABS(G40)&lt;=0.5,"Yes","No")))</f>
        <v/>
      </c>
      <c r="I40" s="16"/>
      <c r="J40" s="16"/>
      <c r="K40" s="16"/>
      <c r="L40" s="16"/>
      <c r="M40" s="16"/>
      <c r="N40" s="16"/>
    </row>
    <row r="41" customFormat="false" ht="15" hidden="false" customHeight="false" outlineLevel="0" collapsed="false">
      <c r="A41" s="16"/>
      <c r="B41" s="16"/>
      <c r="C41" s="16"/>
      <c r="D41" s="16"/>
      <c r="E41" s="16"/>
      <c r="F41" s="16"/>
      <c r="G41" s="4" t="str">
        <f aca="false">IF(OR(E41="",F41=""),"",F41-E41)</f>
        <v/>
      </c>
      <c r="H41" s="4" t="str">
        <f aca="false">IF(OR(E41="",D41="partial"),"",IF(F41="","No (missed)",IF(ABS(G41)&lt;=0.5,"Yes","No")))</f>
        <v/>
      </c>
      <c r="I41" s="16"/>
      <c r="J41" s="16"/>
      <c r="K41" s="16"/>
      <c r="L41" s="16"/>
      <c r="M41" s="16"/>
      <c r="N41" s="16"/>
    </row>
    <row r="42" customFormat="false" ht="15" hidden="false" customHeight="false" outlineLevel="0" collapsed="false">
      <c r="A42" s="16"/>
      <c r="B42" s="16"/>
      <c r="C42" s="16"/>
      <c r="D42" s="16"/>
      <c r="E42" s="16"/>
      <c r="F42" s="16"/>
      <c r="G42" s="4" t="str">
        <f aca="false">IF(OR(E42="",F42=""),"",F42-E42)</f>
        <v/>
      </c>
      <c r="H42" s="4" t="str">
        <f aca="false">IF(OR(E42="",D42="partial"),"",IF(F42="","No (missed)",IF(ABS(G42)&lt;=0.5,"Yes","No")))</f>
        <v/>
      </c>
      <c r="I42" s="16"/>
      <c r="J42" s="16"/>
      <c r="K42" s="16"/>
      <c r="L42" s="16"/>
      <c r="M42" s="16"/>
      <c r="N42" s="16"/>
    </row>
    <row r="43" customFormat="false" ht="15" hidden="false" customHeight="false" outlineLevel="0" collapsed="false">
      <c r="A43" s="16"/>
      <c r="B43" s="16"/>
      <c r="C43" s="16"/>
      <c r="D43" s="16"/>
      <c r="E43" s="16"/>
      <c r="F43" s="16"/>
      <c r="G43" s="4" t="str">
        <f aca="false">IF(OR(E43="",F43=""),"",F43-E43)</f>
        <v/>
      </c>
      <c r="H43" s="4" t="str">
        <f aca="false">IF(OR(E43="",D43="partial"),"",IF(F43="","No (missed)",IF(ABS(G43)&lt;=0.5,"Yes","No")))</f>
        <v/>
      </c>
      <c r="I43" s="16"/>
      <c r="J43" s="16"/>
      <c r="K43" s="16"/>
      <c r="L43" s="16"/>
      <c r="M43" s="16"/>
      <c r="N43" s="16"/>
    </row>
    <row r="44" customFormat="false" ht="15" hidden="false" customHeight="false" outlineLevel="0" collapsed="false">
      <c r="A44" s="16"/>
      <c r="B44" s="16"/>
      <c r="C44" s="16"/>
      <c r="D44" s="16"/>
      <c r="E44" s="16"/>
      <c r="F44" s="16"/>
      <c r="G44" s="4" t="str">
        <f aca="false">IF(OR(E44="",F44=""),"",F44-E44)</f>
        <v/>
      </c>
      <c r="H44" s="4" t="str">
        <f aca="false">IF(OR(E44="",D44="partial"),"",IF(F44="","No (missed)",IF(ABS(G44)&lt;=0.5,"Yes","No")))</f>
        <v/>
      </c>
      <c r="I44" s="16"/>
      <c r="J44" s="16"/>
      <c r="K44" s="16"/>
      <c r="L44" s="16"/>
      <c r="M44" s="16"/>
      <c r="N44" s="16"/>
    </row>
    <row r="45" customFormat="false" ht="15" hidden="false" customHeight="false" outlineLevel="0" collapsed="false">
      <c r="A45" s="16"/>
      <c r="B45" s="16"/>
      <c r="C45" s="16"/>
      <c r="D45" s="16"/>
      <c r="E45" s="16"/>
      <c r="F45" s="16"/>
      <c r="G45" s="4" t="str">
        <f aca="false">IF(OR(E45="",F45=""),"",F45-E45)</f>
        <v/>
      </c>
      <c r="H45" s="4" t="str">
        <f aca="false">IF(OR(E45="",D45="partial"),"",IF(F45="","No (missed)",IF(ABS(G45)&lt;=0.5,"Yes","No")))</f>
        <v/>
      </c>
      <c r="I45" s="16"/>
      <c r="J45" s="16"/>
      <c r="K45" s="16"/>
      <c r="L45" s="16"/>
      <c r="M45" s="16"/>
      <c r="N45" s="16"/>
    </row>
    <row r="46" customFormat="false" ht="15" hidden="false" customHeight="false" outlineLevel="0" collapsed="false">
      <c r="A46" s="16"/>
      <c r="B46" s="16"/>
      <c r="C46" s="16"/>
      <c r="D46" s="16"/>
      <c r="E46" s="16"/>
      <c r="F46" s="16"/>
      <c r="G46" s="4" t="str">
        <f aca="false">IF(OR(E46="",F46=""),"",F46-E46)</f>
        <v/>
      </c>
      <c r="H46" s="4" t="str">
        <f aca="false">IF(OR(E46="",D46="partial"),"",IF(F46="","No (missed)",IF(ABS(G46)&lt;=0.5,"Yes","No")))</f>
        <v/>
      </c>
      <c r="I46" s="16"/>
      <c r="J46" s="16"/>
      <c r="K46" s="16"/>
      <c r="L46" s="16"/>
      <c r="M46" s="16"/>
      <c r="N46" s="16"/>
    </row>
    <row r="47" customFormat="false" ht="15" hidden="false" customHeight="false" outlineLevel="0" collapsed="false">
      <c r="A47" s="16"/>
      <c r="B47" s="16"/>
      <c r="C47" s="16"/>
      <c r="D47" s="16"/>
      <c r="E47" s="16"/>
      <c r="F47" s="16"/>
      <c r="G47" s="4" t="str">
        <f aca="false">IF(OR(E47="",F47=""),"",F47-E47)</f>
        <v/>
      </c>
      <c r="H47" s="4" t="str">
        <f aca="false">IF(OR(E47="",D47="partial"),"",IF(F47="","No (missed)",IF(ABS(G47)&lt;=0.5,"Yes","No")))</f>
        <v/>
      </c>
      <c r="I47" s="16"/>
      <c r="J47" s="16"/>
      <c r="K47" s="16"/>
      <c r="L47" s="16"/>
      <c r="M47" s="16"/>
      <c r="N47" s="16"/>
    </row>
    <row r="48" customFormat="false" ht="15" hidden="false" customHeight="false" outlineLevel="0" collapsed="false">
      <c r="A48" s="16"/>
      <c r="B48" s="16"/>
      <c r="C48" s="16"/>
      <c r="D48" s="16"/>
      <c r="E48" s="16"/>
      <c r="F48" s="16"/>
      <c r="G48" s="4" t="str">
        <f aca="false">IF(OR(E48="",F48=""),"",F48-E48)</f>
        <v/>
      </c>
      <c r="H48" s="4" t="str">
        <f aca="false">IF(OR(E48="",D48="partial"),"",IF(F48="","No (missed)",IF(ABS(G48)&lt;=0.5,"Yes","No")))</f>
        <v/>
      </c>
      <c r="I48" s="16"/>
      <c r="J48" s="16"/>
      <c r="K48" s="16"/>
      <c r="L48" s="16"/>
      <c r="M48" s="16"/>
      <c r="N48" s="16"/>
    </row>
    <row r="49" customFormat="false" ht="15" hidden="false" customHeight="false" outlineLevel="0" collapsed="false">
      <c r="A49" s="16"/>
      <c r="B49" s="16"/>
      <c r="C49" s="16"/>
      <c r="D49" s="16"/>
      <c r="E49" s="16"/>
      <c r="F49" s="16"/>
      <c r="G49" s="4" t="str">
        <f aca="false">IF(OR(E49="",F49=""),"",F49-E49)</f>
        <v/>
      </c>
      <c r="H49" s="4" t="str">
        <f aca="false">IF(OR(E49="",D49="partial"),"",IF(F49="","No (missed)",IF(ABS(G49)&lt;=0.5,"Yes","No")))</f>
        <v/>
      </c>
      <c r="I49" s="16"/>
      <c r="J49" s="16"/>
      <c r="K49" s="16"/>
      <c r="L49" s="16"/>
      <c r="M49" s="16"/>
      <c r="N49" s="16"/>
    </row>
    <row r="50" customFormat="false" ht="15" hidden="false" customHeight="false" outlineLevel="0" collapsed="false">
      <c r="A50" s="16"/>
      <c r="B50" s="16"/>
      <c r="C50" s="16"/>
      <c r="D50" s="16"/>
      <c r="E50" s="16"/>
      <c r="F50" s="16"/>
      <c r="G50" s="4" t="str">
        <f aca="false">IF(OR(E50="",F50=""),"",F50-E50)</f>
        <v/>
      </c>
      <c r="H50" s="4" t="str">
        <f aca="false">IF(OR(E50="",D50="partial"),"",IF(F50="","No (missed)",IF(ABS(G50)&lt;=0.5,"Yes","No")))</f>
        <v/>
      </c>
      <c r="I50" s="16"/>
      <c r="J50" s="16"/>
      <c r="K50" s="16"/>
      <c r="L50" s="16"/>
      <c r="M50" s="16"/>
      <c r="N50" s="16"/>
    </row>
    <row r="51" customFormat="false" ht="15" hidden="false" customHeight="false" outlineLevel="0" collapsed="false">
      <c r="A51" s="16"/>
      <c r="B51" s="16"/>
      <c r="C51" s="16"/>
      <c r="D51" s="16"/>
      <c r="E51" s="16"/>
      <c r="F51" s="16"/>
      <c r="G51" s="4" t="str">
        <f aca="false">IF(OR(E51="",F51=""),"",F51-E51)</f>
        <v/>
      </c>
      <c r="H51" s="4" t="str">
        <f aca="false">IF(OR(E51="",D51="partial"),"",IF(F51="","No (missed)",IF(ABS(G51)&lt;=0.5,"Yes","No")))</f>
        <v/>
      </c>
      <c r="I51" s="16"/>
      <c r="J51" s="16"/>
      <c r="K51" s="16"/>
      <c r="L51" s="16"/>
      <c r="M51" s="16"/>
      <c r="N51" s="16"/>
    </row>
    <row r="52" customFormat="false" ht="15" hidden="false" customHeight="false" outlineLevel="0" collapsed="false">
      <c r="A52" s="16"/>
      <c r="B52" s="16"/>
      <c r="C52" s="16"/>
      <c r="D52" s="16"/>
      <c r="E52" s="16"/>
      <c r="F52" s="16"/>
      <c r="G52" s="4" t="str">
        <f aca="false">IF(OR(E52="",F52=""),"",F52-E52)</f>
        <v/>
      </c>
      <c r="H52" s="4" t="str">
        <f aca="false">IF(OR(E52="",D52="partial"),"",IF(F52="","No (missed)",IF(ABS(G52)&lt;=0.5,"Yes","No")))</f>
        <v/>
      </c>
      <c r="I52" s="16"/>
      <c r="J52" s="16"/>
      <c r="K52" s="16"/>
      <c r="L52" s="16"/>
      <c r="M52" s="16"/>
      <c r="N52" s="16"/>
    </row>
    <row r="53" customFormat="false" ht="15" hidden="false" customHeight="false" outlineLevel="0" collapsed="false">
      <c r="A53" s="16"/>
      <c r="B53" s="16"/>
      <c r="C53" s="16"/>
      <c r="D53" s="16"/>
      <c r="E53" s="16"/>
      <c r="F53" s="16"/>
      <c r="G53" s="4" t="str">
        <f aca="false">IF(OR(E53="",F53=""),"",F53-E53)</f>
        <v/>
      </c>
      <c r="H53" s="4" t="str">
        <f aca="false">IF(OR(E53="",D53="partial"),"",IF(F53="","No (missed)",IF(ABS(G53)&lt;=0.5,"Yes","No")))</f>
        <v/>
      </c>
      <c r="I53" s="16"/>
      <c r="J53" s="16"/>
      <c r="K53" s="16"/>
      <c r="L53" s="16"/>
      <c r="M53" s="16"/>
      <c r="N53" s="16"/>
    </row>
    <row r="54" customFormat="false" ht="15" hidden="false" customHeight="false" outlineLevel="0" collapsed="false">
      <c r="A54" s="16"/>
      <c r="B54" s="16"/>
      <c r="C54" s="16"/>
      <c r="D54" s="16"/>
      <c r="E54" s="16"/>
      <c r="F54" s="16"/>
      <c r="G54" s="4" t="str">
        <f aca="false">IF(OR(E54="",F54=""),"",F54-E54)</f>
        <v/>
      </c>
      <c r="H54" s="4" t="str">
        <f aca="false">IF(OR(E54="",D54="partial"),"",IF(F54="","No (missed)",IF(ABS(G54)&lt;=0.5,"Yes","No")))</f>
        <v/>
      </c>
      <c r="I54" s="16"/>
      <c r="J54" s="16"/>
      <c r="K54" s="16"/>
      <c r="L54" s="16"/>
      <c r="M54" s="16"/>
      <c r="N54" s="16"/>
    </row>
    <row r="55" customFormat="false" ht="15" hidden="false" customHeight="false" outlineLevel="0" collapsed="false">
      <c r="A55" s="16"/>
      <c r="B55" s="16"/>
      <c r="C55" s="16"/>
      <c r="D55" s="16"/>
      <c r="E55" s="16"/>
      <c r="F55" s="16"/>
      <c r="G55" s="4" t="str">
        <f aca="false">IF(OR(E55="",F55=""),"",F55-E55)</f>
        <v/>
      </c>
      <c r="H55" s="4" t="str">
        <f aca="false">IF(OR(E55="",D55="partial"),"",IF(F55="","No (missed)",IF(ABS(G55)&lt;=0.5,"Yes","No")))</f>
        <v/>
      </c>
      <c r="I55" s="16"/>
      <c r="J55" s="16"/>
      <c r="K55" s="16"/>
      <c r="L55" s="16"/>
      <c r="M55" s="16"/>
      <c r="N55" s="16"/>
    </row>
    <row r="56" customFormat="false" ht="15" hidden="false" customHeight="false" outlineLevel="0" collapsed="false">
      <c r="A56" s="16"/>
      <c r="B56" s="16"/>
      <c r="C56" s="16"/>
      <c r="D56" s="16"/>
      <c r="E56" s="16"/>
      <c r="F56" s="16"/>
      <c r="G56" s="4" t="str">
        <f aca="false">IF(OR(E56="",F56=""),"",F56-E56)</f>
        <v/>
      </c>
      <c r="H56" s="4" t="str">
        <f aca="false">IF(OR(E56="",D56="partial"),"",IF(F56="","No (missed)",IF(ABS(G56)&lt;=0.5,"Yes","No")))</f>
        <v/>
      </c>
      <c r="I56" s="16"/>
      <c r="J56" s="16"/>
      <c r="K56" s="16"/>
      <c r="L56" s="16"/>
      <c r="M56" s="16"/>
      <c r="N56" s="16"/>
    </row>
    <row r="57" customFormat="false" ht="15" hidden="false" customHeight="false" outlineLevel="0" collapsed="false">
      <c r="A57" s="16"/>
      <c r="B57" s="16"/>
      <c r="C57" s="16"/>
      <c r="D57" s="16"/>
      <c r="E57" s="16"/>
      <c r="F57" s="16"/>
      <c r="G57" s="4" t="str">
        <f aca="false">IF(OR(E57="",F57=""),"",F57-E57)</f>
        <v/>
      </c>
      <c r="H57" s="4" t="str">
        <f aca="false">IF(OR(E57="",D57="partial"),"",IF(F57="","No (missed)",IF(ABS(G57)&lt;=0.5,"Yes","No")))</f>
        <v/>
      </c>
      <c r="I57" s="16"/>
      <c r="J57" s="16"/>
      <c r="K57" s="16"/>
      <c r="L57" s="16"/>
      <c r="M57" s="16"/>
      <c r="N57" s="16"/>
    </row>
    <row r="58" customFormat="false" ht="15" hidden="false" customHeight="false" outlineLevel="0" collapsed="false">
      <c r="A58" s="16"/>
      <c r="B58" s="16"/>
      <c r="C58" s="16"/>
      <c r="D58" s="16"/>
      <c r="E58" s="16"/>
      <c r="F58" s="16"/>
      <c r="G58" s="4" t="str">
        <f aca="false">IF(OR(E58="",F58=""),"",F58-E58)</f>
        <v/>
      </c>
      <c r="H58" s="4" t="str">
        <f aca="false">IF(OR(E58="",D58="partial"),"",IF(F58="","No (missed)",IF(ABS(G58)&lt;=0.5,"Yes","No")))</f>
        <v/>
      </c>
      <c r="I58" s="16"/>
      <c r="J58" s="16"/>
      <c r="K58" s="16"/>
      <c r="L58" s="16"/>
      <c r="M58" s="16"/>
      <c r="N58" s="16"/>
    </row>
    <row r="59" customFormat="false" ht="15" hidden="false" customHeight="false" outlineLevel="0" collapsed="false">
      <c r="A59" s="16"/>
      <c r="B59" s="16"/>
      <c r="C59" s="16"/>
      <c r="D59" s="16"/>
      <c r="E59" s="16"/>
      <c r="F59" s="16"/>
      <c r="G59" s="4" t="str">
        <f aca="false">IF(OR(E59="",F59=""),"",F59-E59)</f>
        <v/>
      </c>
      <c r="H59" s="4" t="str">
        <f aca="false">IF(OR(E59="",D59="partial"),"",IF(F59="","No (missed)",IF(ABS(G59)&lt;=0.5,"Yes","No")))</f>
        <v/>
      </c>
      <c r="I59" s="16"/>
      <c r="J59" s="16"/>
      <c r="K59" s="16"/>
      <c r="L59" s="16"/>
      <c r="M59" s="16"/>
      <c r="N59" s="16"/>
    </row>
    <row r="60" customFormat="false" ht="15" hidden="false" customHeight="false" outlineLevel="0" collapsed="false">
      <c r="A60" s="16"/>
      <c r="B60" s="16"/>
      <c r="C60" s="16"/>
      <c r="D60" s="16"/>
      <c r="E60" s="16"/>
      <c r="F60" s="16"/>
      <c r="G60" s="4" t="str">
        <f aca="false">IF(OR(E60="",F60=""),"",F60-E60)</f>
        <v/>
      </c>
      <c r="H60" s="4" t="str">
        <f aca="false">IF(OR(E60="",D60="partial"),"",IF(F60="","No (missed)",IF(ABS(G60)&lt;=0.5,"Yes","No")))</f>
        <v/>
      </c>
      <c r="I60" s="16"/>
      <c r="J60" s="16"/>
      <c r="K60" s="16"/>
      <c r="L60" s="16"/>
      <c r="M60" s="16"/>
      <c r="N60" s="16"/>
    </row>
    <row r="61" customFormat="false" ht="15" hidden="false" customHeight="false" outlineLevel="0" collapsed="false">
      <c r="A61" s="16"/>
      <c r="B61" s="16"/>
      <c r="C61" s="16"/>
      <c r="D61" s="16"/>
      <c r="E61" s="16"/>
      <c r="F61" s="16"/>
      <c r="G61" s="4" t="str">
        <f aca="false">IF(OR(E61="",F61=""),"",F61-E61)</f>
        <v/>
      </c>
      <c r="H61" s="4" t="str">
        <f aca="false">IF(OR(E61="",D61="partial"),"",IF(F61="","No (missed)",IF(ABS(G61)&lt;=0.5,"Yes","No")))</f>
        <v/>
      </c>
      <c r="I61" s="16"/>
      <c r="J61" s="16"/>
      <c r="K61" s="16"/>
      <c r="L61" s="16"/>
      <c r="M61" s="16"/>
      <c r="N61" s="16"/>
    </row>
    <row r="62" customFormat="false" ht="15" hidden="false" customHeight="false" outlineLevel="0" collapsed="false">
      <c r="A62" s="16"/>
      <c r="B62" s="16"/>
      <c r="C62" s="16"/>
      <c r="D62" s="16"/>
      <c r="E62" s="16"/>
      <c r="F62" s="16"/>
      <c r="G62" s="4" t="str">
        <f aca="false">IF(OR(E62="",F62=""),"",F62-E62)</f>
        <v/>
      </c>
      <c r="H62" s="4" t="str">
        <f aca="false">IF(OR(E62="",D62="partial"),"",IF(F62="","No (missed)",IF(ABS(G62)&lt;=0.5,"Yes","No")))</f>
        <v/>
      </c>
      <c r="I62" s="16"/>
      <c r="J62" s="16"/>
      <c r="K62" s="16"/>
      <c r="L62" s="16"/>
      <c r="M62" s="16"/>
      <c r="N62" s="16"/>
    </row>
    <row r="63" customFormat="false" ht="15" hidden="false" customHeight="false" outlineLevel="0" collapsed="false">
      <c r="A63" s="16"/>
      <c r="B63" s="16"/>
      <c r="C63" s="16"/>
      <c r="D63" s="16"/>
      <c r="E63" s="16"/>
      <c r="F63" s="16"/>
      <c r="G63" s="4" t="str">
        <f aca="false">IF(OR(E63="",F63=""),"",F63-E63)</f>
        <v/>
      </c>
      <c r="H63" s="4" t="str">
        <f aca="false">IF(OR(E63="",D63="partial"),"",IF(F63="","No (missed)",IF(ABS(G63)&lt;=0.5,"Yes","No")))</f>
        <v/>
      </c>
      <c r="I63" s="16"/>
      <c r="J63" s="16"/>
      <c r="K63" s="16"/>
      <c r="L63" s="16"/>
      <c r="M63" s="16"/>
      <c r="N63" s="16"/>
    </row>
    <row r="64" customFormat="false" ht="15" hidden="false" customHeight="false" outlineLevel="0" collapsed="false">
      <c r="A64" s="16"/>
      <c r="B64" s="16"/>
      <c r="C64" s="16"/>
      <c r="D64" s="16"/>
      <c r="E64" s="16"/>
      <c r="F64" s="16"/>
      <c r="G64" s="4" t="str">
        <f aca="false">IF(OR(E64="",F64=""),"",F64-E64)</f>
        <v/>
      </c>
      <c r="H64" s="4" t="str">
        <f aca="false">IF(OR(E64="",D64="partial"),"",IF(F64="","No (missed)",IF(ABS(G64)&lt;=0.5,"Yes","No")))</f>
        <v/>
      </c>
      <c r="I64" s="16"/>
      <c r="J64" s="16"/>
      <c r="K64" s="16"/>
      <c r="L64" s="16"/>
      <c r="M64" s="16"/>
      <c r="N64" s="16"/>
    </row>
    <row r="65" customFormat="false" ht="15" hidden="false" customHeight="false" outlineLevel="0" collapsed="false">
      <c r="A65" s="16"/>
      <c r="B65" s="16"/>
      <c r="C65" s="16"/>
      <c r="D65" s="16"/>
      <c r="E65" s="16"/>
      <c r="F65" s="16"/>
      <c r="G65" s="4" t="str">
        <f aca="false">IF(OR(E65="",F65=""),"",F65-E65)</f>
        <v/>
      </c>
      <c r="H65" s="4" t="str">
        <f aca="false">IF(OR(E65="",D65="partial"),"",IF(F65="","No (missed)",IF(ABS(G65)&lt;=0.5,"Yes","No")))</f>
        <v/>
      </c>
      <c r="I65" s="16"/>
      <c r="J65" s="16"/>
      <c r="K65" s="16"/>
      <c r="L65" s="16"/>
      <c r="M65" s="16"/>
      <c r="N65" s="16"/>
    </row>
    <row r="66" customFormat="false" ht="15" hidden="false" customHeight="false" outlineLevel="0" collapsed="false">
      <c r="A66" s="16"/>
      <c r="B66" s="16"/>
      <c r="C66" s="16"/>
      <c r="D66" s="16"/>
      <c r="E66" s="16"/>
      <c r="F66" s="16"/>
      <c r="G66" s="4" t="str">
        <f aca="false">IF(OR(E66="",F66=""),"",F66-E66)</f>
        <v/>
      </c>
      <c r="H66" s="4" t="str">
        <f aca="false">IF(OR(E66="",D66="partial"),"",IF(F66="","No (missed)",IF(ABS(G66)&lt;=0.5,"Yes","No")))</f>
        <v/>
      </c>
      <c r="I66" s="16"/>
      <c r="J66" s="16"/>
      <c r="K66" s="16"/>
      <c r="L66" s="16"/>
      <c r="M66" s="16"/>
      <c r="N66" s="16"/>
    </row>
    <row r="67" customFormat="false" ht="15" hidden="false" customHeight="false" outlineLevel="0" collapsed="false">
      <c r="A67" s="16"/>
      <c r="B67" s="16"/>
      <c r="C67" s="16"/>
      <c r="D67" s="16"/>
      <c r="E67" s="16"/>
      <c r="F67" s="16"/>
      <c r="G67" s="4" t="str">
        <f aca="false">IF(OR(E67="",F67=""),"",F67-E67)</f>
        <v/>
      </c>
      <c r="H67" s="4" t="str">
        <f aca="false">IF(OR(E67="",D67="partial"),"",IF(F67="","No (missed)",IF(ABS(G67)&lt;=0.5,"Yes","No")))</f>
        <v/>
      </c>
      <c r="I67" s="16"/>
      <c r="J67" s="16"/>
      <c r="K67" s="16"/>
      <c r="L67" s="16"/>
      <c r="M67" s="16"/>
      <c r="N67" s="16"/>
    </row>
    <row r="68" customFormat="false" ht="15" hidden="false" customHeight="false" outlineLevel="0" collapsed="false">
      <c r="A68" s="16"/>
      <c r="B68" s="16"/>
      <c r="C68" s="16"/>
      <c r="D68" s="16"/>
      <c r="E68" s="16"/>
      <c r="F68" s="16"/>
      <c r="G68" s="4" t="str">
        <f aca="false">IF(OR(E68="",F68=""),"",F68-E68)</f>
        <v/>
      </c>
      <c r="H68" s="4" t="str">
        <f aca="false">IF(OR(E68="",D68="partial"),"",IF(F68="","No (missed)",IF(ABS(G68)&lt;=0.5,"Yes","No")))</f>
        <v/>
      </c>
      <c r="I68" s="16"/>
      <c r="J68" s="16"/>
      <c r="K68" s="16"/>
      <c r="L68" s="16"/>
      <c r="M68" s="16"/>
      <c r="N68" s="16"/>
    </row>
    <row r="69" customFormat="false" ht="15" hidden="false" customHeight="false" outlineLevel="0" collapsed="false">
      <c r="A69" s="16"/>
      <c r="B69" s="16"/>
      <c r="C69" s="16"/>
      <c r="D69" s="16"/>
      <c r="E69" s="16"/>
      <c r="F69" s="16"/>
      <c r="G69" s="4" t="str">
        <f aca="false">IF(OR(E69="",F69=""),"",F69-E69)</f>
        <v/>
      </c>
      <c r="H69" s="4" t="str">
        <f aca="false">IF(OR(E69="",D69="partial"),"",IF(F69="","No (missed)",IF(ABS(G69)&lt;=0.5,"Yes","No")))</f>
        <v/>
      </c>
      <c r="I69" s="16"/>
      <c r="J69" s="16"/>
      <c r="K69" s="16"/>
      <c r="L69" s="16"/>
      <c r="M69" s="16"/>
      <c r="N69" s="16"/>
    </row>
    <row r="70" customFormat="false" ht="15" hidden="false" customHeight="false" outlineLevel="0" collapsed="false">
      <c r="A70" s="16"/>
      <c r="B70" s="16"/>
      <c r="C70" s="16"/>
      <c r="D70" s="16"/>
      <c r="E70" s="16"/>
      <c r="F70" s="16"/>
      <c r="G70" s="4" t="str">
        <f aca="false">IF(OR(E70="",F70=""),"",F70-E70)</f>
        <v/>
      </c>
      <c r="H70" s="4" t="str">
        <f aca="false">IF(OR(E70="",D70="partial"),"",IF(F70="","No (missed)",IF(ABS(G70)&lt;=0.5,"Yes","No")))</f>
        <v/>
      </c>
      <c r="I70" s="16"/>
      <c r="J70" s="16"/>
      <c r="K70" s="16"/>
      <c r="L70" s="16"/>
      <c r="M70" s="16"/>
      <c r="N70" s="16"/>
    </row>
    <row r="71" customFormat="false" ht="15" hidden="false" customHeight="false" outlineLevel="0" collapsed="false">
      <c r="A71" s="16"/>
      <c r="B71" s="16"/>
      <c r="C71" s="16"/>
      <c r="D71" s="16"/>
      <c r="E71" s="16"/>
      <c r="F71" s="16"/>
      <c r="G71" s="4" t="str">
        <f aca="false">IF(OR(E71="",F71=""),"",F71-E71)</f>
        <v/>
      </c>
      <c r="H71" s="4" t="str">
        <f aca="false">IF(OR(E71="",D71="partial"),"",IF(F71="","No (missed)",IF(ABS(G71)&lt;=0.5,"Yes","No")))</f>
        <v/>
      </c>
      <c r="I71" s="16"/>
      <c r="J71" s="16"/>
      <c r="K71" s="16"/>
      <c r="L71" s="16"/>
      <c r="M71" s="16"/>
      <c r="N71" s="16"/>
    </row>
    <row r="72" customFormat="false" ht="15" hidden="false" customHeight="false" outlineLevel="0" collapsed="false">
      <c r="A72" s="16"/>
      <c r="B72" s="16"/>
      <c r="C72" s="16"/>
      <c r="D72" s="16"/>
      <c r="E72" s="16"/>
      <c r="F72" s="16"/>
      <c r="G72" s="4" t="str">
        <f aca="false">IF(OR(E72="",F72=""),"",F72-E72)</f>
        <v/>
      </c>
      <c r="H72" s="4" t="str">
        <f aca="false">IF(OR(E72="",D72="partial"),"",IF(F72="","No (missed)",IF(ABS(G72)&lt;=0.5,"Yes","No")))</f>
        <v/>
      </c>
      <c r="I72" s="16"/>
      <c r="J72" s="16"/>
      <c r="K72" s="16"/>
      <c r="L72" s="16"/>
      <c r="M72" s="16"/>
      <c r="N72" s="16"/>
    </row>
    <row r="73" customFormat="false" ht="15" hidden="false" customHeight="false" outlineLevel="0" collapsed="false">
      <c r="A73" s="16"/>
      <c r="B73" s="16"/>
      <c r="C73" s="16"/>
      <c r="D73" s="16"/>
      <c r="E73" s="16"/>
      <c r="F73" s="16"/>
      <c r="G73" s="4" t="str">
        <f aca="false">IF(OR(E73="",F73=""),"",F73-E73)</f>
        <v/>
      </c>
      <c r="H73" s="4" t="str">
        <f aca="false">IF(OR(E73="",D73="partial"),"",IF(F73="","No (missed)",IF(ABS(G73)&lt;=0.5,"Yes","No")))</f>
        <v/>
      </c>
      <c r="I73" s="16"/>
      <c r="J73" s="16"/>
      <c r="K73" s="16"/>
      <c r="L73" s="16"/>
      <c r="M73" s="16"/>
      <c r="N73" s="16"/>
    </row>
    <row r="74" customFormat="false" ht="15" hidden="false" customHeight="false" outlineLevel="0" collapsed="false">
      <c r="A74" s="16"/>
      <c r="B74" s="16"/>
      <c r="C74" s="16"/>
      <c r="D74" s="16"/>
      <c r="E74" s="16"/>
      <c r="F74" s="16"/>
      <c r="G74" s="4" t="str">
        <f aca="false">IF(OR(E74="",F74=""),"",F74-E74)</f>
        <v/>
      </c>
      <c r="H74" s="4" t="str">
        <f aca="false">IF(OR(E74="",D74="partial"),"",IF(F74="","No (missed)",IF(ABS(G74)&lt;=0.5,"Yes","No")))</f>
        <v/>
      </c>
      <c r="I74" s="16"/>
      <c r="J74" s="16"/>
      <c r="K74" s="16"/>
      <c r="L74" s="16"/>
      <c r="M74" s="16"/>
      <c r="N74" s="16"/>
    </row>
    <row r="75" customFormat="false" ht="15" hidden="false" customHeight="false" outlineLevel="0" collapsed="false">
      <c r="A75" s="16"/>
      <c r="B75" s="16"/>
      <c r="C75" s="16"/>
      <c r="D75" s="16"/>
      <c r="E75" s="16"/>
      <c r="F75" s="16"/>
      <c r="G75" s="4" t="str">
        <f aca="false">IF(OR(E75="",F75=""),"",F75-E75)</f>
        <v/>
      </c>
      <c r="H75" s="4" t="str">
        <f aca="false">IF(OR(E75="",D75="partial"),"",IF(F75="","No (missed)",IF(ABS(G75)&lt;=0.5,"Yes","No")))</f>
        <v/>
      </c>
      <c r="I75" s="16"/>
      <c r="J75" s="16"/>
      <c r="K75" s="16"/>
      <c r="L75" s="16"/>
      <c r="M75" s="16"/>
      <c r="N75" s="16"/>
    </row>
    <row r="76" customFormat="false" ht="15" hidden="false" customHeight="false" outlineLevel="0" collapsed="false">
      <c r="A76" s="16"/>
      <c r="B76" s="16"/>
      <c r="C76" s="16"/>
      <c r="D76" s="16"/>
      <c r="E76" s="16"/>
      <c r="F76" s="16"/>
      <c r="G76" s="4" t="str">
        <f aca="false">IF(OR(E76="",F76=""),"",F76-E76)</f>
        <v/>
      </c>
      <c r="H76" s="4" t="str">
        <f aca="false">IF(OR(E76="",D76="partial"),"",IF(F76="","No (missed)",IF(ABS(G76)&lt;=0.5,"Yes","No")))</f>
        <v/>
      </c>
      <c r="I76" s="16"/>
      <c r="J76" s="16"/>
      <c r="K76" s="16"/>
      <c r="L76" s="16"/>
      <c r="M76" s="16"/>
      <c r="N76" s="16"/>
    </row>
    <row r="77" customFormat="false" ht="15" hidden="false" customHeight="false" outlineLevel="0" collapsed="false">
      <c r="A77" s="16"/>
      <c r="B77" s="16"/>
      <c r="C77" s="16"/>
      <c r="D77" s="16"/>
      <c r="E77" s="16"/>
      <c r="F77" s="16"/>
      <c r="G77" s="4" t="str">
        <f aca="false">IF(OR(E77="",F77=""),"",F77-E77)</f>
        <v/>
      </c>
      <c r="H77" s="4" t="str">
        <f aca="false">IF(OR(E77="",D77="partial"),"",IF(F77="","No (missed)",IF(ABS(G77)&lt;=0.5,"Yes","No")))</f>
        <v/>
      </c>
      <c r="I77" s="16"/>
      <c r="J77" s="16"/>
      <c r="K77" s="16"/>
      <c r="L77" s="16"/>
      <c r="M77" s="16"/>
      <c r="N77" s="16"/>
    </row>
    <row r="78" customFormat="false" ht="15" hidden="false" customHeight="false" outlineLevel="0" collapsed="false">
      <c r="A78" s="16"/>
      <c r="B78" s="16"/>
      <c r="C78" s="16"/>
      <c r="D78" s="16"/>
      <c r="E78" s="16"/>
      <c r="F78" s="16"/>
      <c r="G78" s="4" t="str">
        <f aca="false">IF(OR(E78="",F78=""),"",F78-E78)</f>
        <v/>
      </c>
      <c r="H78" s="4" t="str">
        <f aca="false">IF(OR(E78="",D78="partial"),"",IF(F78="","No (missed)",IF(ABS(G78)&lt;=0.5,"Yes","No")))</f>
        <v/>
      </c>
      <c r="I78" s="16"/>
      <c r="J78" s="16"/>
      <c r="K78" s="16"/>
      <c r="L78" s="16"/>
      <c r="M78" s="16"/>
      <c r="N78" s="16"/>
    </row>
    <row r="79" customFormat="false" ht="15" hidden="false" customHeight="false" outlineLevel="0" collapsed="false">
      <c r="A79" s="16"/>
      <c r="B79" s="16"/>
      <c r="C79" s="16"/>
      <c r="D79" s="16"/>
      <c r="E79" s="16"/>
      <c r="F79" s="16"/>
      <c r="G79" s="4" t="str">
        <f aca="false">IF(OR(E79="",F79=""),"",F79-E79)</f>
        <v/>
      </c>
      <c r="H79" s="4" t="str">
        <f aca="false">IF(OR(E79="",D79="partial"),"",IF(F79="","No (missed)",IF(ABS(G79)&lt;=0.5,"Yes","No")))</f>
        <v/>
      </c>
      <c r="I79" s="16"/>
      <c r="J79" s="16"/>
      <c r="K79" s="16"/>
      <c r="L79" s="16"/>
      <c r="M79" s="16"/>
      <c r="N79" s="16"/>
    </row>
    <row r="80" customFormat="false" ht="15" hidden="false" customHeight="false" outlineLevel="0" collapsed="false">
      <c r="A80" s="16"/>
      <c r="B80" s="16"/>
      <c r="C80" s="16"/>
      <c r="D80" s="16"/>
      <c r="E80" s="16"/>
      <c r="F80" s="16"/>
      <c r="G80" s="4" t="str">
        <f aca="false">IF(OR(E80="",F80=""),"",F80-E80)</f>
        <v/>
      </c>
      <c r="H80" s="4" t="str">
        <f aca="false">IF(OR(E80="",D80="partial"),"",IF(F80="","No (missed)",IF(ABS(G80)&lt;=0.5,"Yes","No")))</f>
        <v/>
      </c>
      <c r="I80" s="16"/>
      <c r="J80" s="16"/>
      <c r="K80" s="16"/>
      <c r="L80" s="16"/>
      <c r="M80" s="16"/>
      <c r="N80" s="16"/>
    </row>
    <row r="81" customFormat="false" ht="15" hidden="false" customHeight="false" outlineLevel="0" collapsed="false">
      <c r="A81" s="16"/>
      <c r="B81" s="16"/>
      <c r="C81" s="16"/>
      <c r="D81" s="16"/>
      <c r="E81" s="16"/>
      <c r="F81" s="16"/>
      <c r="G81" s="4" t="str">
        <f aca="false">IF(OR(E81="",F81=""),"",F81-E81)</f>
        <v/>
      </c>
      <c r="H81" s="4" t="str">
        <f aca="false">IF(OR(E81="",D81="partial"),"",IF(F81="","No (missed)",IF(ABS(G81)&lt;=0.5,"Yes","No")))</f>
        <v/>
      </c>
      <c r="I81" s="16"/>
      <c r="J81" s="16"/>
      <c r="K81" s="16"/>
      <c r="L81" s="16"/>
      <c r="M81" s="16"/>
      <c r="N81" s="16"/>
    </row>
    <row r="82" customFormat="false" ht="15" hidden="false" customHeight="false" outlineLevel="0" collapsed="false">
      <c r="A82" s="16"/>
      <c r="B82" s="16"/>
      <c r="C82" s="16"/>
      <c r="D82" s="16"/>
      <c r="E82" s="16"/>
      <c r="F82" s="16"/>
      <c r="G82" s="4" t="str">
        <f aca="false">IF(OR(E82="",F82=""),"",F82-E82)</f>
        <v/>
      </c>
      <c r="H82" s="4" t="str">
        <f aca="false">IF(OR(E82="",D82="partial"),"",IF(F82="","No (missed)",IF(ABS(G82)&lt;=0.5,"Yes","No")))</f>
        <v/>
      </c>
      <c r="I82" s="16"/>
      <c r="J82" s="16"/>
      <c r="K82" s="16"/>
      <c r="L82" s="16"/>
      <c r="M82" s="16"/>
      <c r="N82" s="16"/>
    </row>
    <row r="83" customFormat="false" ht="15" hidden="false" customHeight="false" outlineLevel="0" collapsed="false">
      <c r="A83" s="16"/>
      <c r="B83" s="16"/>
      <c r="C83" s="16"/>
      <c r="D83" s="16"/>
      <c r="E83" s="16"/>
      <c r="F83" s="16"/>
      <c r="G83" s="4" t="str">
        <f aca="false">IF(OR(E83="",F83=""),"",F83-E83)</f>
        <v/>
      </c>
      <c r="H83" s="4" t="str">
        <f aca="false">IF(OR(E83="",D83="partial"),"",IF(F83="","No (missed)",IF(ABS(G83)&lt;=0.5,"Yes","No")))</f>
        <v/>
      </c>
      <c r="I83" s="16"/>
      <c r="J83" s="16"/>
      <c r="K83" s="16"/>
      <c r="L83" s="16"/>
      <c r="M83" s="16"/>
      <c r="N83" s="16"/>
    </row>
    <row r="84" customFormat="false" ht="15" hidden="false" customHeight="false" outlineLevel="0" collapsed="false">
      <c r="A84" s="16"/>
      <c r="B84" s="16"/>
      <c r="C84" s="16"/>
      <c r="D84" s="16"/>
      <c r="E84" s="16"/>
      <c r="F84" s="16"/>
      <c r="G84" s="4" t="str">
        <f aca="false">IF(OR(E84="",F84=""),"",F84-E84)</f>
        <v/>
      </c>
      <c r="H84" s="4" t="str">
        <f aca="false">IF(OR(E84="",D84="partial"),"",IF(F84="","No (missed)",IF(ABS(G84)&lt;=0.5,"Yes","No")))</f>
        <v/>
      </c>
      <c r="I84" s="16"/>
      <c r="J84" s="16"/>
      <c r="K84" s="16"/>
      <c r="L84" s="16"/>
      <c r="M84" s="16"/>
      <c r="N84" s="16"/>
    </row>
    <row r="85" customFormat="false" ht="15" hidden="false" customHeight="false" outlineLevel="0" collapsed="false">
      <c r="A85" s="16"/>
      <c r="B85" s="16"/>
      <c r="C85" s="16"/>
      <c r="D85" s="16"/>
      <c r="E85" s="16"/>
      <c r="F85" s="16"/>
      <c r="G85" s="4" t="str">
        <f aca="false">IF(OR(E85="",F85=""),"",F85-E85)</f>
        <v/>
      </c>
      <c r="H85" s="4" t="str">
        <f aca="false">IF(OR(E85="",D85="partial"),"",IF(F85="","No (missed)",IF(ABS(G85)&lt;=0.5,"Yes","No")))</f>
        <v/>
      </c>
      <c r="I85" s="16"/>
      <c r="J85" s="16"/>
      <c r="K85" s="16"/>
      <c r="L85" s="16"/>
      <c r="M85" s="16"/>
      <c r="N85" s="16"/>
    </row>
    <row r="86" customFormat="false" ht="15" hidden="false" customHeight="false" outlineLevel="0" collapsed="false">
      <c r="A86" s="16"/>
      <c r="B86" s="16"/>
      <c r="C86" s="16"/>
      <c r="D86" s="16"/>
      <c r="E86" s="16"/>
      <c r="F86" s="16"/>
      <c r="G86" s="4" t="str">
        <f aca="false">IF(OR(E86="",F86=""),"",F86-E86)</f>
        <v/>
      </c>
      <c r="H86" s="4" t="str">
        <f aca="false">IF(OR(E86="",D86="partial"),"",IF(F86="","No (missed)",IF(ABS(G86)&lt;=0.5,"Yes","No")))</f>
        <v/>
      </c>
      <c r="I86" s="16"/>
      <c r="J86" s="16"/>
      <c r="K86" s="16"/>
      <c r="L86" s="16"/>
      <c r="M86" s="16"/>
      <c r="N86" s="16"/>
    </row>
    <row r="87" customFormat="false" ht="15" hidden="false" customHeight="false" outlineLevel="0" collapsed="false">
      <c r="A87" s="16"/>
      <c r="B87" s="16"/>
      <c r="C87" s="16"/>
      <c r="D87" s="16"/>
      <c r="E87" s="16"/>
      <c r="F87" s="16"/>
      <c r="G87" s="4" t="str">
        <f aca="false">IF(OR(E87="",F87=""),"",F87-E87)</f>
        <v/>
      </c>
      <c r="H87" s="4" t="str">
        <f aca="false">IF(OR(E87="",D87="partial"),"",IF(F87="","No (missed)",IF(ABS(G87)&lt;=0.5,"Yes","No")))</f>
        <v/>
      </c>
      <c r="I87" s="16"/>
      <c r="J87" s="16"/>
      <c r="K87" s="16"/>
      <c r="L87" s="16"/>
      <c r="M87" s="16"/>
      <c r="N87" s="16"/>
    </row>
    <row r="88" customFormat="false" ht="15" hidden="false" customHeight="false" outlineLevel="0" collapsed="false">
      <c r="A88" s="16"/>
      <c r="B88" s="16"/>
      <c r="C88" s="16"/>
      <c r="D88" s="16"/>
      <c r="E88" s="16"/>
      <c r="F88" s="16"/>
      <c r="G88" s="4" t="str">
        <f aca="false">IF(OR(E88="",F88=""),"",F88-E88)</f>
        <v/>
      </c>
      <c r="H88" s="4" t="str">
        <f aca="false">IF(OR(E88="",D88="partial"),"",IF(F88="","No (missed)",IF(ABS(G88)&lt;=0.5,"Yes","No")))</f>
        <v/>
      </c>
      <c r="I88" s="16"/>
      <c r="J88" s="16"/>
      <c r="K88" s="16"/>
      <c r="L88" s="16"/>
      <c r="M88" s="16"/>
      <c r="N88" s="16"/>
    </row>
    <row r="89" customFormat="false" ht="15" hidden="false" customHeight="false" outlineLevel="0" collapsed="false">
      <c r="A89" s="16"/>
      <c r="B89" s="16"/>
      <c r="C89" s="16"/>
      <c r="D89" s="16"/>
      <c r="E89" s="16"/>
      <c r="F89" s="16"/>
      <c r="G89" s="4" t="str">
        <f aca="false">IF(OR(E89="",F89=""),"",F89-E89)</f>
        <v/>
      </c>
      <c r="H89" s="4" t="str">
        <f aca="false">IF(OR(E89="",D89="partial"),"",IF(F89="","No (missed)",IF(ABS(G89)&lt;=0.5,"Yes","No")))</f>
        <v/>
      </c>
      <c r="I89" s="16"/>
      <c r="J89" s="16"/>
      <c r="K89" s="16"/>
      <c r="L89" s="16"/>
      <c r="M89" s="16"/>
      <c r="N89" s="16"/>
    </row>
    <row r="90" customFormat="false" ht="15" hidden="false" customHeight="false" outlineLevel="0" collapsed="false">
      <c r="A90" s="16"/>
      <c r="B90" s="16"/>
      <c r="C90" s="16"/>
      <c r="D90" s="16"/>
      <c r="E90" s="16"/>
      <c r="F90" s="16"/>
      <c r="G90" s="4" t="str">
        <f aca="false">IF(OR(E90="",F90=""),"",F90-E90)</f>
        <v/>
      </c>
      <c r="H90" s="4" t="str">
        <f aca="false">IF(OR(E90="",D90="partial"),"",IF(F90="","No (missed)",IF(ABS(G90)&lt;=0.5,"Yes","No")))</f>
        <v/>
      </c>
      <c r="I90" s="16"/>
      <c r="J90" s="16"/>
      <c r="K90" s="16"/>
      <c r="L90" s="16"/>
      <c r="M90" s="16"/>
      <c r="N90" s="16"/>
    </row>
    <row r="91" customFormat="false" ht="15" hidden="false" customHeight="false" outlineLevel="0" collapsed="false">
      <c r="A91" s="16"/>
      <c r="B91" s="16"/>
      <c r="C91" s="16"/>
      <c r="D91" s="16"/>
      <c r="E91" s="16"/>
      <c r="F91" s="16"/>
      <c r="G91" s="4" t="str">
        <f aca="false">IF(OR(E91="",F91=""),"",F91-E91)</f>
        <v/>
      </c>
      <c r="H91" s="4" t="str">
        <f aca="false">IF(OR(E91="",D91="partial"),"",IF(F91="","No (missed)",IF(ABS(G91)&lt;=0.5,"Yes","No")))</f>
        <v/>
      </c>
      <c r="I91" s="16"/>
      <c r="J91" s="16"/>
      <c r="K91" s="16"/>
      <c r="L91" s="16"/>
      <c r="M91" s="16"/>
      <c r="N91" s="16"/>
    </row>
    <row r="92" customFormat="false" ht="15" hidden="false" customHeight="false" outlineLevel="0" collapsed="false">
      <c r="A92" s="16"/>
      <c r="B92" s="16"/>
      <c r="C92" s="16"/>
      <c r="D92" s="16"/>
      <c r="E92" s="16"/>
      <c r="F92" s="16"/>
      <c r="G92" s="4" t="str">
        <f aca="false">IF(OR(E92="",F92=""),"",F92-E92)</f>
        <v/>
      </c>
      <c r="H92" s="4" t="str">
        <f aca="false">IF(OR(E92="",D92="partial"),"",IF(F92="","No (missed)",IF(ABS(G92)&lt;=0.5,"Yes","No")))</f>
        <v/>
      </c>
      <c r="I92" s="16"/>
      <c r="J92" s="16"/>
      <c r="K92" s="16"/>
      <c r="L92" s="16"/>
      <c r="M92" s="16"/>
      <c r="N92" s="16"/>
    </row>
    <row r="93" customFormat="false" ht="15" hidden="false" customHeight="false" outlineLevel="0" collapsed="false">
      <c r="A93" s="16"/>
      <c r="B93" s="16"/>
      <c r="C93" s="16"/>
      <c r="D93" s="16"/>
      <c r="E93" s="16"/>
      <c r="F93" s="16"/>
      <c r="G93" s="4" t="str">
        <f aca="false">IF(OR(E93="",F93=""),"",F93-E93)</f>
        <v/>
      </c>
      <c r="H93" s="4" t="str">
        <f aca="false">IF(OR(E93="",D93="partial"),"",IF(F93="","No (missed)",IF(ABS(G93)&lt;=0.5,"Yes","No")))</f>
        <v/>
      </c>
      <c r="I93" s="16"/>
      <c r="J93" s="16"/>
      <c r="K93" s="16"/>
      <c r="L93" s="16"/>
      <c r="M93" s="16"/>
      <c r="N93" s="16"/>
    </row>
    <row r="94" customFormat="false" ht="15" hidden="false" customHeight="false" outlineLevel="0" collapsed="false">
      <c r="A94" s="16"/>
      <c r="B94" s="16"/>
      <c r="C94" s="16"/>
      <c r="D94" s="16"/>
      <c r="E94" s="16"/>
      <c r="F94" s="16"/>
      <c r="G94" s="4" t="str">
        <f aca="false">IF(OR(E94="",F94=""),"",F94-E94)</f>
        <v/>
      </c>
      <c r="H94" s="4" t="str">
        <f aca="false">IF(OR(E94="",D94="partial"),"",IF(F94="","No (missed)",IF(ABS(G94)&lt;=0.5,"Yes","No")))</f>
        <v/>
      </c>
      <c r="I94" s="16"/>
      <c r="J94" s="16"/>
      <c r="K94" s="16"/>
      <c r="L94" s="16"/>
      <c r="M94" s="16"/>
      <c r="N94" s="16"/>
    </row>
    <row r="95" customFormat="false" ht="15" hidden="false" customHeight="false" outlineLevel="0" collapsed="false">
      <c r="A95" s="16"/>
      <c r="B95" s="16"/>
      <c r="C95" s="16"/>
      <c r="D95" s="16"/>
      <c r="E95" s="16"/>
      <c r="F95" s="16"/>
      <c r="G95" s="4" t="str">
        <f aca="false">IF(OR(E95="",F95=""),"",F95-E95)</f>
        <v/>
      </c>
      <c r="H95" s="4" t="str">
        <f aca="false">IF(OR(E95="",D95="partial"),"",IF(F95="","No (missed)",IF(ABS(G95)&lt;=0.5,"Yes","No")))</f>
        <v/>
      </c>
      <c r="I95" s="16"/>
      <c r="J95" s="16"/>
      <c r="K95" s="16"/>
      <c r="L95" s="16"/>
      <c r="M95" s="16"/>
      <c r="N95" s="16"/>
    </row>
    <row r="96" customFormat="false" ht="15" hidden="false" customHeight="false" outlineLevel="0" collapsed="false">
      <c r="A96" s="16"/>
      <c r="B96" s="16"/>
      <c r="C96" s="16"/>
      <c r="D96" s="16"/>
      <c r="E96" s="16"/>
      <c r="F96" s="16"/>
      <c r="G96" s="4" t="str">
        <f aca="false">IF(OR(E96="",F96=""),"",F96-E96)</f>
        <v/>
      </c>
      <c r="H96" s="4" t="str">
        <f aca="false">IF(OR(E96="",D96="partial"),"",IF(F96="","No (missed)",IF(ABS(G96)&lt;=0.5,"Yes","No")))</f>
        <v/>
      </c>
      <c r="I96" s="16"/>
      <c r="J96" s="16"/>
      <c r="K96" s="16"/>
      <c r="L96" s="16"/>
      <c r="M96" s="16"/>
      <c r="N96" s="16"/>
    </row>
    <row r="97" customFormat="false" ht="15" hidden="false" customHeight="false" outlineLevel="0" collapsed="false">
      <c r="A97" s="16"/>
      <c r="B97" s="16"/>
      <c r="C97" s="16"/>
      <c r="D97" s="16"/>
      <c r="E97" s="16"/>
      <c r="F97" s="16"/>
      <c r="G97" s="4" t="str">
        <f aca="false">IF(OR(E97="",F97=""),"",F97-E97)</f>
        <v/>
      </c>
      <c r="H97" s="4" t="str">
        <f aca="false">IF(OR(E97="",D97="partial"),"",IF(F97="","No (missed)",IF(ABS(G97)&lt;=0.5,"Yes","No")))</f>
        <v/>
      </c>
      <c r="I97" s="16"/>
      <c r="J97" s="16"/>
      <c r="K97" s="16"/>
      <c r="L97" s="16"/>
      <c r="M97" s="16"/>
      <c r="N97" s="16"/>
    </row>
    <row r="98" customFormat="false" ht="15" hidden="false" customHeight="false" outlineLevel="0" collapsed="false">
      <c r="A98" s="16"/>
      <c r="B98" s="16"/>
      <c r="C98" s="16"/>
      <c r="D98" s="16"/>
      <c r="E98" s="16"/>
      <c r="F98" s="16"/>
      <c r="G98" s="4" t="str">
        <f aca="false">IF(OR(E98="",F98=""),"",F98-E98)</f>
        <v/>
      </c>
      <c r="H98" s="4" t="str">
        <f aca="false">IF(OR(E98="",D98="partial"),"",IF(F98="","No (missed)",IF(ABS(G98)&lt;=0.5,"Yes","No")))</f>
        <v/>
      </c>
      <c r="I98" s="16"/>
      <c r="J98" s="16"/>
      <c r="K98" s="16"/>
      <c r="L98" s="16"/>
      <c r="M98" s="16"/>
      <c r="N98" s="16"/>
    </row>
    <row r="99" customFormat="false" ht="15" hidden="false" customHeight="false" outlineLevel="0" collapsed="false">
      <c r="A99" s="16"/>
      <c r="B99" s="16"/>
      <c r="C99" s="16"/>
      <c r="D99" s="16"/>
      <c r="E99" s="16"/>
      <c r="F99" s="16"/>
      <c r="G99" s="4" t="str">
        <f aca="false">IF(OR(E99="",F99=""),"",F99-E99)</f>
        <v/>
      </c>
      <c r="H99" s="4" t="str">
        <f aca="false">IF(OR(E99="",D99="partial"),"",IF(F99="","No (missed)",IF(ABS(G99)&lt;=0.5,"Yes","No")))</f>
        <v/>
      </c>
      <c r="I99" s="16"/>
      <c r="J99" s="16"/>
      <c r="K99" s="16"/>
      <c r="L99" s="16"/>
      <c r="M99" s="16"/>
      <c r="N99" s="16"/>
    </row>
    <row r="100" customFormat="false" ht="15" hidden="false" customHeight="false" outlineLevel="0" collapsed="false">
      <c r="A100" s="16"/>
      <c r="B100" s="16"/>
      <c r="C100" s="16"/>
      <c r="D100" s="16"/>
      <c r="E100" s="16"/>
      <c r="F100" s="16"/>
      <c r="G100" s="4" t="str">
        <f aca="false">IF(OR(E100="",F100=""),"",F100-E100)</f>
        <v/>
      </c>
      <c r="H100" s="4" t="str">
        <f aca="false">IF(OR(E100="",D100="partial"),"",IF(F100="","No (missed)",IF(ABS(G100)&lt;=0.5,"Yes","No")))</f>
        <v/>
      </c>
      <c r="I100" s="16"/>
      <c r="J100" s="16"/>
      <c r="K100" s="16"/>
      <c r="L100" s="16"/>
      <c r="M100" s="16"/>
      <c r="N100" s="16"/>
    </row>
    <row r="101" customFormat="false" ht="15" hidden="false" customHeight="false" outlineLevel="0" collapsed="false">
      <c r="A101" s="16"/>
      <c r="B101" s="16"/>
      <c r="C101" s="16"/>
      <c r="D101" s="16"/>
      <c r="E101" s="16"/>
      <c r="F101" s="16"/>
      <c r="G101" s="4" t="str">
        <f aca="false">IF(OR(E101="",F101=""),"",F101-E101)</f>
        <v/>
      </c>
      <c r="H101" s="4" t="str">
        <f aca="false">IF(OR(E101="",D101="partial"),"",IF(F101="","No (missed)",IF(ABS(G101)&lt;=0.5,"Yes","No")))</f>
        <v/>
      </c>
      <c r="I101" s="16"/>
      <c r="J101" s="16"/>
      <c r="K101" s="16"/>
      <c r="L101" s="16"/>
      <c r="M101" s="16"/>
      <c r="N101" s="16"/>
    </row>
    <row r="102" customFormat="false" ht="15" hidden="false" customHeight="false" outlineLevel="0" collapsed="false">
      <c r="A102" s="16"/>
      <c r="B102" s="16"/>
      <c r="C102" s="16"/>
      <c r="D102" s="16"/>
      <c r="E102" s="16"/>
      <c r="F102" s="16"/>
      <c r="G102" s="4" t="str">
        <f aca="false">IF(OR(E102="",F102=""),"",F102-E102)</f>
        <v/>
      </c>
      <c r="H102" s="4" t="str">
        <f aca="false">IF(OR(E102="",D102="partial"),"",IF(F102="","No (missed)",IF(ABS(G102)&lt;=0.5,"Yes","No")))</f>
        <v/>
      </c>
      <c r="I102" s="16"/>
      <c r="J102" s="16"/>
      <c r="K102" s="16"/>
      <c r="L102" s="16"/>
      <c r="M102" s="16"/>
      <c r="N102" s="16"/>
    </row>
    <row r="103" customFormat="false" ht="15" hidden="false" customHeight="false" outlineLevel="0" collapsed="false">
      <c r="A103" s="16"/>
      <c r="B103" s="16"/>
      <c r="C103" s="16"/>
      <c r="D103" s="16"/>
      <c r="E103" s="16"/>
      <c r="F103" s="16"/>
      <c r="G103" s="4" t="str">
        <f aca="false">IF(OR(E103="",F103=""),"",F103-E103)</f>
        <v/>
      </c>
      <c r="H103" s="4" t="str">
        <f aca="false">IF(OR(E103="",D103="partial"),"",IF(F103="","No (missed)",IF(ABS(G103)&lt;=0.5,"Yes","No")))</f>
        <v/>
      </c>
      <c r="I103" s="16"/>
      <c r="J103" s="16"/>
      <c r="K103" s="16"/>
      <c r="L103" s="16"/>
      <c r="M103" s="16"/>
      <c r="N103" s="16"/>
    </row>
    <row r="104" customFormat="false" ht="15" hidden="false" customHeight="false" outlineLevel="0" collapsed="false">
      <c r="A104" s="16"/>
      <c r="B104" s="16"/>
      <c r="C104" s="16"/>
      <c r="D104" s="16"/>
      <c r="E104" s="16"/>
      <c r="F104" s="16"/>
      <c r="G104" s="4" t="str">
        <f aca="false">IF(OR(E104="",F104=""),"",F104-E104)</f>
        <v/>
      </c>
      <c r="H104" s="4" t="str">
        <f aca="false">IF(OR(E104="",D104="partial"),"",IF(F104="","No (missed)",IF(ABS(G104)&lt;=0.5,"Yes","No")))</f>
        <v/>
      </c>
      <c r="I104" s="16"/>
      <c r="J104" s="16"/>
      <c r="K104" s="16"/>
      <c r="L104" s="16"/>
      <c r="M104" s="16"/>
      <c r="N104" s="16"/>
    </row>
    <row r="105" customFormat="false" ht="15" hidden="false" customHeight="false" outlineLevel="0" collapsed="false">
      <c r="A105" s="16"/>
      <c r="B105" s="16"/>
      <c r="C105" s="16"/>
      <c r="D105" s="16"/>
      <c r="E105" s="16"/>
      <c r="F105" s="16"/>
      <c r="G105" s="4" t="str">
        <f aca="false">IF(OR(E105="",F105=""),"",F105-E105)</f>
        <v/>
      </c>
      <c r="H105" s="4" t="str">
        <f aca="false">IF(OR(E105="",D105="partial"),"",IF(F105="","No (missed)",IF(ABS(G105)&lt;=0.5,"Yes","No")))</f>
        <v/>
      </c>
      <c r="I105" s="16"/>
      <c r="J105" s="16"/>
      <c r="K105" s="16"/>
      <c r="L105" s="16"/>
      <c r="M105" s="16"/>
      <c r="N105" s="16"/>
    </row>
    <row r="106" customFormat="false" ht="15" hidden="false" customHeight="false" outlineLevel="0" collapsed="false">
      <c r="A106" s="16"/>
      <c r="B106" s="16"/>
      <c r="C106" s="16"/>
      <c r="D106" s="16"/>
      <c r="E106" s="16"/>
      <c r="F106" s="16"/>
      <c r="G106" s="4" t="str">
        <f aca="false">IF(OR(E106="",F106=""),"",F106-E106)</f>
        <v/>
      </c>
      <c r="H106" s="4" t="str">
        <f aca="false">IF(OR(E106="",D106="partial"),"",IF(F106="","No (missed)",IF(ABS(G106)&lt;=0.5,"Yes","No")))</f>
        <v/>
      </c>
      <c r="I106" s="16"/>
      <c r="J106" s="16"/>
      <c r="K106" s="16"/>
      <c r="L106" s="16"/>
      <c r="M106" s="16"/>
      <c r="N106" s="16"/>
    </row>
    <row r="107" customFormat="false" ht="15" hidden="false" customHeight="false" outlineLevel="0" collapsed="false">
      <c r="A107" s="16"/>
      <c r="B107" s="16"/>
      <c r="C107" s="16"/>
      <c r="D107" s="16"/>
      <c r="E107" s="16"/>
      <c r="F107" s="16"/>
      <c r="G107" s="4" t="str">
        <f aca="false">IF(OR(E107="",F107=""),"",F107-E107)</f>
        <v/>
      </c>
      <c r="H107" s="4" t="str">
        <f aca="false">IF(OR(E107="",D107="partial"),"",IF(F107="","No (missed)",IF(ABS(G107)&lt;=0.5,"Yes","No")))</f>
        <v/>
      </c>
      <c r="I107" s="16"/>
      <c r="J107" s="16"/>
      <c r="K107" s="16"/>
      <c r="L107" s="16"/>
      <c r="M107" s="16"/>
      <c r="N107" s="16"/>
    </row>
    <row r="108" customFormat="false" ht="15" hidden="false" customHeight="false" outlineLevel="0" collapsed="false">
      <c r="A108" s="16"/>
      <c r="B108" s="16"/>
      <c r="C108" s="16"/>
      <c r="D108" s="16"/>
      <c r="E108" s="16"/>
      <c r="F108" s="16"/>
      <c r="G108" s="4" t="str">
        <f aca="false">IF(OR(E108="",F108=""),"",F108-E108)</f>
        <v/>
      </c>
      <c r="H108" s="4" t="str">
        <f aca="false">IF(OR(E108="",D108="partial"),"",IF(F108="","No (missed)",IF(ABS(G108)&lt;=0.5,"Yes","No")))</f>
        <v/>
      </c>
      <c r="I108" s="16"/>
      <c r="J108" s="16"/>
      <c r="K108" s="16"/>
      <c r="L108" s="16"/>
      <c r="M108" s="16"/>
      <c r="N108" s="16"/>
    </row>
    <row r="109" customFormat="false" ht="15" hidden="false" customHeight="false" outlineLevel="0" collapsed="false">
      <c r="A109" s="16"/>
      <c r="B109" s="16"/>
      <c r="C109" s="16"/>
      <c r="D109" s="16"/>
      <c r="E109" s="16"/>
      <c r="F109" s="16"/>
      <c r="G109" s="4" t="str">
        <f aca="false">IF(OR(E109="",F109=""),"",F109-E109)</f>
        <v/>
      </c>
      <c r="H109" s="4" t="str">
        <f aca="false">IF(OR(E109="",D109="partial"),"",IF(F109="","No (missed)",IF(ABS(G109)&lt;=0.5,"Yes","No")))</f>
        <v/>
      </c>
      <c r="I109" s="16"/>
      <c r="J109" s="16"/>
      <c r="K109" s="16"/>
      <c r="L109" s="16"/>
      <c r="M109" s="16"/>
      <c r="N109" s="16"/>
    </row>
    <row r="110" customFormat="false" ht="15" hidden="false" customHeight="false" outlineLevel="0" collapsed="false">
      <c r="A110" s="16"/>
      <c r="B110" s="16"/>
      <c r="C110" s="16"/>
      <c r="D110" s="16"/>
      <c r="E110" s="16"/>
      <c r="F110" s="16"/>
      <c r="G110" s="4" t="str">
        <f aca="false">IF(OR(E110="",F110=""),"",F110-E110)</f>
        <v/>
      </c>
      <c r="H110" s="4" t="str">
        <f aca="false">IF(OR(E110="",D110="partial"),"",IF(F110="","No (missed)",IF(ABS(G110)&lt;=0.5,"Yes","No")))</f>
        <v/>
      </c>
      <c r="I110" s="16"/>
      <c r="J110" s="16"/>
      <c r="K110" s="16"/>
      <c r="L110" s="16"/>
      <c r="M110" s="16"/>
      <c r="N110" s="16"/>
    </row>
    <row r="111" customFormat="false" ht="15" hidden="false" customHeight="false" outlineLevel="0" collapsed="false">
      <c r="A111" s="16"/>
      <c r="B111" s="16"/>
      <c r="C111" s="16"/>
      <c r="D111" s="16"/>
      <c r="E111" s="16"/>
      <c r="F111" s="16"/>
      <c r="G111" s="4" t="str">
        <f aca="false">IF(OR(E111="",F111=""),"",F111-E111)</f>
        <v/>
      </c>
      <c r="H111" s="4" t="str">
        <f aca="false">IF(OR(E111="",D111="partial"),"",IF(F111="","No (missed)",IF(ABS(G111)&lt;=0.5,"Yes","No")))</f>
        <v/>
      </c>
      <c r="I111" s="16"/>
      <c r="J111" s="16"/>
      <c r="K111" s="16"/>
      <c r="L111" s="16"/>
      <c r="M111" s="16"/>
      <c r="N111" s="16"/>
    </row>
    <row r="112" customFormat="false" ht="15" hidden="false" customHeight="false" outlineLevel="0" collapsed="false">
      <c r="A112" s="16"/>
      <c r="B112" s="16"/>
      <c r="C112" s="16"/>
      <c r="D112" s="16"/>
      <c r="E112" s="16"/>
      <c r="F112" s="16"/>
      <c r="G112" s="4" t="str">
        <f aca="false">IF(OR(E112="",F112=""),"",F112-E112)</f>
        <v/>
      </c>
      <c r="H112" s="4" t="str">
        <f aca="false">IF(OR(E112="",D112="partial"),"",IF(F112="","No (missed)",IF(ABS(G112)&lt;=0.5,"Yes","No")))</f>
        <v/>
      </c>
      <c r="I112" s="16"/>
      <c r="J112" s="16"/>
      <c r="K112" s="16"/>
      <c r="L112" s="16"/>
      <c r="M112" s="16"/>
      <c r="N112" s="16"/>
    </row>
    <row r="113" customFormat="false" ht="15" hidden="false" customHeight="false" outlineLevel="0" collapsed="false">
      <c r="A113" s="16"/>
      <c r="B113" s="16"/>
      <c r="C113" s="16"/>
      <c r="D113" s="16"/>
      <c r="E113" s="16"/>
      <c r="F113" s="16"/>
      <c r="G113" s="4" t="str">
        <f aca="false">IF(OR(E113="",F113=""),"",F113-E113)</f>
        <v/>
      </c>
      <c r="H113" s="4" t="str">
        <f aca="false">IF(OR(E113="",D113="partial"),"",IF(F113="","No (missed)",IF(ABS(G113)&lt;=0.5,"Yes","No")))</f>
        <v/>
      </c>
      <c r="I113" s="16"/>
      <c r="J113" s="16"/>
      <c r="K113" s="16"/>
      <c r="L113" s="16"/>
      <c r="M113" s="16"/>
      <c r="N113" s="16"/>
    </row>
    <row r="114" customFormat="false" ht="15" hidden="false" customHeight="false" outlineLevel="0" collapsed="false">
      <c r="A114" s="16"/>
      <c r="B114" s="16"/>
      <c r="C114" s="16"/>
      <c r="D114" s="16"/>
      <c r="E114" s="16"/>
      <c r="F114" s="16"/>
      <c r="G114" s="4" t="str">
        <f aca="false">IF(OR(E114="",F114=""),"",F114-E114)</f>
        <v/>
      </c>
      <c r="H114" s="4" t="str">
        <f aca="false">IF(OR(E114="",D114="partial"),"",IF(F114="","No (missed)",IF(ABS(G114)&lt;=0.5,"Yes","No")))</f>
        <v/>
      </c>
      <c r="I114" s="16"/>
      <c r="J114" s="16"/>
      <c r="K114" s="16"/>
      <c r="L114" s="16"/>
      <c r="M114" s="16"/>
      <c r="N114" s="16"/>
    </row>
    <row r="115" customFormat="false" ht="15" hidden="false" customHeight="false" outlineLevel="0" collapsed="false">
      <c r="A115" s="16"/>
      <c r="B115" s="16"/>
      <c r="C115" s="16"/>
      <c r="D115" s="16"/>
      <c r="E115" s="16"/>
      <c r="F115" s="16"/>
      <c r="G115" s="4" t="str">
        <f aca="false">IF(OR(E115="",F115=""),"",F115-E115)</f>
        <v/>
      </c>
      <c r="H115" s="4" t="str">
        <f aca="false">IF(OR(E115="",D115="partial"),"",IF(F115="","No (missed)",IF(ABS(G115)&lt;=0.5,"Yes","No")))</f>
        <v/>
      </c>
      <c r="I115" s="16"/>
      <c r="J115" s="16"/>
      <c r="K115" s="16"/>
      <c r="L115" s="16"/>
      <c r="M115" s="16"/>
      <c r="N115" s="16"/>
    </row>
    <row r="116" customFormat="false" ht="15" hidden="false" customHeight="false" outlineLevel="0" collapsed="false">
      <c r="A116" s="16"/>
      <c r="B116" s="16"/>
      <c r="C116" s="16"/>
      <c r="D116" s="16"/>
      <c r="E116" s="16"/>
      <c r="F116" s="16"/>
      <c r="G116" s="4" t="str">
        <f aca="false">IF(OR(E116="",F116=""),"",F116-E116)</f>
        <v/>
      </c>
      <c r="H116" s="4" t="str">
        <f aca="false">IF(OR(E116="",D116="partial"),"",IF(F116="","No (missed)",IF(ABS(G116)&lt;=0.5,"Yes","No")))</f>
        <v/>
      </c>
      <c r="I116" s="16"/>
      <c r="J116" s="16"/>
      <c r="K116" s="16"/>
      <c r="L116" s="16"/>
      <c r="M116" s="16"/>
      <c r="N116" s="16"/>
    </row>
    <row r="117" customFormat="false" ht="15" hidden="false" customHeight="false" outlineLevel="0" collapsed="false">
      <c r="A117" s="16"/>
      <c r="B117" s="16"/>
      <c r="C117" s="16"/>
      <c r="D117" s="16"/>
      <c r="E117" s="16"/>
      <c r="F117" s="16"/>
      <c r="G117" s="4" t="str">
        <f aca="false">IF(OR(E117="",F117=""),"",F117-E117)</f>
        <v/>
      </c>
      <c r="H117" s="4" t="str">
        <f aca="false">IF(OR(E117="",D117="partial"),"",IF(F117="","No (missed)",IF(ABS(G117)&lt;=0.5,"Yes","No")))</f>
        <v/>
      </c>
      <c r="I117" s="16"/>
      <c r="J117" s="16"/>
      <c r="K117" s="16"/>
      <c r="L117" s="16"/>
      <c r="M117" s="16"/>
      <c r="N117" s="16"/>
    </row>
    <row r="118" customFormat="false" ht="15" hidden="false" customHeight="false" outlineLevel="0" collapsed="false">
      <c r="A118" s="16"/>
      <c r="B118" s="16"/>
      <c r="C118" s="16"/>
      <c r="D118" s="16"/>
      <c r="E118" s="16"/>
      <c r="F118" s="16"/>
      <c r="G118" s="4" t="str">
        <f aca="false">IF(OR(E118="",F118=""),"",F118-E118)</f>
        <v/>
      </c>
      <c r="H118" s="4" t="str">
        <f aca="false">IF(OR(E118="",D118="partial"),"",IF(F118="","No (missed)",IF(ABS(G118)&lt;=0.5,"Yes","No")))</f>
        <v/>
      </c>
      <c r="I118" s="16"/>
      <c r="J118" s="16"/>
      <c r="K118" s="16"/>
      <c r="L118" s="16"/>
      <c r="M118" s="16"/>
      <c r="N118" s="16"/>
    </row>
    <row r="119" customFormat="false" ht="15" hidden="false" customHeight="false" outlineLevel="0" collapsed="false">
      <c r="A119" s="16"/>
      <c r="B119" s="16"/>
      <c r="C119" s="16"/>
      <c r="D119" s="16"/>
      <c r="E119" s="16"/>
      <c r="F119" s="16"/>
      <c r="G119" s="4" t="str">
        <f aca="false">IF(OR(E119="",F119=""),"",F119-E119)</f>
        <v/>
      </c>
      <c r="H119" s="4" t="str">
        <f aca="false">IF(OR(E119="",D119="partial"),"",IF(F119="","No (missed)",IF(ABS(G119)&lt;=0.5,"Yes","No")))</f>
        <v/>
      </c>
      <c r="I119" s="16"/>
      <c r="J119" s="16"/>
      <c r="K119" s="16"/>
      <c r="L119" s="16"/>
      <c r="M119" s="16"/>
      <c r="N119" s="16"/>
    </row>
    <row r="120" customFormat="false" ht="15" hidden="false" customHeight="false" outlineLevel="0" collapsed="false">
      <c r="A120" s="16"/>
      <c r="B120" s="16"/>
      <c r="C120" s="16"/>
      <c r="D120" s="16"/>
      <c r="E120" s="16"/>
      <c r="F120" s="16"/>
      <c r="G120" s="4" t="str">
        <f aca="false">IF(OR(E120="",F120=""),"",F120-E120)</f>
        <v/>
      </c>
      <c r="H120" s="4" t="str">
        <f aca="false">IF(OR(E120="",D120="partial"),"",IF(F120="","No (missed)",IF(ABS(G120)&lt;=0.5,"Yes","No")))</f>
        <v/>
      </c>
      <c r="I120" s="16"/>
      <c r="J120" s="16"/>
      <c r="K120" s="16"/>
      <c r="L120" s="16"/>
      <c r="M120" s="16"/>
      <c r="N120" s="16"/>
    </row>
    <row r="121" customFormat="false" ht="15" hidden="false" customHeight="false" outlineLevel="0" collapsed="false">
      <c r="A121" s="16"/>
      <c r="B121" s="16"/>
      <c r="C121" s="16"/>
      <c r="D121" s="16"/>
      <c r="E121" s="16"/>
      <c r="F121" s="16"/>
      <c r="G121" s="4" t="str">
        <f aca="false">IF(OR(E121="",F121=""),"",F121-E121)</f>
        <v/>
      </c>
      <c r="H121" s="4" t="str">
        <f aca="false">IF(OR(E121="",D121="partial"),"",IF(F121="","No (missed)",IF(ABS(G121)&lt;=0.5,"Yes","No")))</f>
        <v/>
      </c>
      <c r="I121" s="16"/>
      <c r="J121" s="16"/>
      <c r="K121" s="16"/>
      <c r="L121" s="16"/>
      <c r="M121" s="16"/>
      <c r="N121" s="16"/>
    </row>
    <row r="122" customFormat="false" ht="15" hidden="false" customHeight="false" outlineLevel="0" collapsed="false">
      <c r="A122" s="16"/>
      <c r="B122" s="16"/>
      <c r="C122" s="16"/>
      <c r="D122" s="16"/>
      <c r="E122" s="16"/>
      <c r="F122" s="16"/>
      <c r="G122" s="4" t="str">
        <f aca="false">IF(OR(E122="",F122=""),"",F122-E122)</f>
        <v/>
      </c>
      <c r="H122" s="4" t="str">
        <f aca="false">IF(OR(E122="",D122="partial"),"",IF(F122="","No (missed)",IF(ABS(G122)&lt;=0.5,"Yes","No")))</f>
        <v/>
      </c>
      <c r="I122" s="16"/>
      <c r="J122" s="16"/>
      <c r="K122" s="16"/>
      <c r="L122" s="16"/>
      <c r="M122" s="16"/>
      <c r="N122" s="16"/>
    </row>
    <row r="123" customFormat="false" ht="15" hidden="false" customHeight="false" outlineLevel="0" collapsed="false">
      <c r="A123" s="16"/>
      <c r="B123" s="16"/>
      <c r="C123" s="16"/>
      <c r="D123" s="16"/>
      <c r="E123" s="16"/>
      <c r="F123" s="16"/>
      <c r="G123" s="4" t="str">
        <f aca="false">IF(OR(E123="",F123=""),"",F123-E123)</f>
        <v/>
      </c>
      <c r="H123" s="4" t="str">
        <f aca="false">IF(OR(E123="",D123="partial"),"",IF(F123="","No (missed)",IF(ABS(G123)&lt;=0.5,"Yes","No")))</f>
        <v/>
      </c>
      <c r="I123" s="16"/>
      <c r="J123" s="16"/>
      <c r="K123" s="16"/>
      <c r="L123" s="16"/>
      <c r="M123" s="16"/>
      <c r="N123" s="16"/>
    </row>
    <row r="124" customFormat="false" ht="15" hidden="false" customHeight="false" outlineLevel="0" collapsed="false">
      <c r="A124" s="16"/>
      <c r="B124" s="16"/>
      <c r="C124" s="16"/>
      <c r="D124" s="16"/>
      <c r="E124" s="16"/>
      <c r="F124" s="16"/>
      <c r="G124" s="4" t="str">
        <f aca="false">IF(OR(E124="",F124=""),"",F124-E124)</f>
        <v/>
      </c>
      <c r="H124" s="4" t="str">
        <f aca="false">IF(OR(E124="",D124="partial"),"",IF(F124="","No (missed)",IF(ABS(G124)&lt;=0.5,"Yes","No")))</f>
        <v/>
      </c>
      <c r="I124" s="16"/>
      <c r="J124" s="16"/>
      <c r="K124" s="16"/>
      <c r="L124" s="16"/>
      <c r="M124" s="16"/>
      <c r="N124" s="16"/>
    </row>
    <row r="125" customFormat="false" ht="15" hidden="false" customHeight="false" outlineLevel="0" collapsed="false">
      <c r="A125" s="16"/>
      <c r="B125" s="16"/>
      <c r="C125" s="16"/>
      <c r="D125" s="16"/>
      <c r="E125" s="16"/>
      <c r="F125" s="16"/>
      <c r="G125" s="4" t="str">
        <f aca="false">IF(OR(E125="",F125=""),"",F125-E125)</f>
        <v/>
      </c>
      <c r="H125" s="4" t="str">
        <f aca="false">IF(OR(E125="",D125="partial"),"",IF(F125="","No (missed)",IF(ABS(G125)&lt;=0.5,"Yes","No")))</f>
        <v/>
      </c>
      <c r="I125" s="16"/>
      <c r="J125" s="16"/>
      <c r="K125" s="16"/>
      <c r="L125" s="16"/>
      <c r="M125" s="16"/>
      <c r="N125" s="16"/>
    </row>
    <row r="126" customFormat="false" ht="15" hidden="false" customHeight="false" outlineLevel="0" collapsed="false">
      <c r="A126" s="16"/>
      <c r="B126" s="16"/>
      <c r="C126" s="16"/>
      <c r="D126" s="16"/>
      <c r="E126" s="16"/>
      <c r="F126" s="16"/>
      <c r="G126" s="4" t="str">
        <f aca="false">IF(OR(E126="",F126=""),"",F126-E126)</f>
        <v/>
      </c>
      <c r="H126" s="4" t="str">
        <f aca="false">IF(OR(E126="",D126="partial"),"",IF(F126="","No (missed)",IF(ABS(G126)&lt;=0.5,"Yes","No")))</f>
        <v/>
      </c>
      <c r="I126" s="16"/>
      <c r="J126" s="16"/>
      <c r="K126" s="16"/>
      <c r="L126" s="16"/>
      <c r="M126" s="16"/>
      <c r="N126" s="16"/>
    </row>
    <row r="127" customFormat="false" ht="15" hidden="false" customHeight="false" outlineLevel="0" collapsed="false">
      <c r="A127" s="16"/>
      <c r="B127" s="16"/>
      <c r="C127" s="16"/>
      <c r="D127" s="16"/>
      <c r="E127" s="16"/>
      <c r="F127" s="16"/>
      <c r="G127" s="4" t="str">
        <f aca="false">IF(OR(E127="",F127=""),"",F127-E127)</f>
        <v/>
      </c>
      <c r="H127" s="4" t="str">
        <f aca="false">IF(OR(E127="",D127="partial"),"",IF(F127="","No (missed)",IF(ABS(G127)&lt;=0.5,"Yes","No")))</f>
        <v/>
      </c>
      <c r="I127" s="16"/>
      <c r="J127" s="16"/>
      <c r="K127" s="16"/>
      <c r="L127" s="16"/>
      <c r="M127" s="16"/>
      <c r="N127" s="16"/>
    </row>
    <row r="128" customFormat="false" ht="15" hidden="false" customHeight="false" outlineLevel="0" collapsed="false">
      <c r="A128" s="16"/>
      <c r="B128" s="16"/>
      <c r="C128" s="16"/>
      <c r="D128" s="16"/>
      <c r="E128" s="16"/>
      <c r="F128" s="16"/>
      <c r="G128" s="4" t="str">
        <f aca="false">IF(OR(E128="",F128=""),"",F128-E128)</f>
        <v/>
      </c>
      <c r="H128" s="4" t="str">
        <f aca="false">IF(OR(E128="",D128="partial"),"",IF(F128="","No (missed)",IF(ABS(G128)&lt;=0.5,"Yes","No")))</f>
        <v/>
      </c>
      <c r="I128" s="16"/>
      <c r="J128" s="16"/>
      <c r="K128" s="16"/>
      <c r="L128" s="16"/>
      <c r="M128" s="16"/>
      <c r="N128" s="16"/>
    </row>
    <row r="129" customFormat="false" ht="15" hidden="false" customHeight="false" outlineLevel="0" collapsed="false">
      <c r="A129" s="16"/>
      <c r="B129" s="16"/>
      <c r="C129" s="16"/>
      <c r="D129" s="16"/>
      <c r="E129" s="16"/>
      <c r="F129" s="16"/>
      <c r="G129" s="4" t="str">
        <f aca="false">IF(OR(E129="",F129=""),"",F129-E129)</f>
        <v/>
      </c>
      <c r="H129" s="4" t="str">
        <f aca="false">IF(OR(E129="",D129="partial"),"",IF(F129="","No (missed)",IF(ABS(G129)&lt;=0.5,"Yes","No")))</f>
        <v/>
      </c>
      <c r="I129" s="16"/>
      <c r="J129" s="16"/>
      <c r="K129" s="16"/>
      <c r="L129" s="16"/>
      <c r="M129" s="16"/>
      <c r="N129" s="16"/>
    </row>
    <row r="130" customFormat="false" ht="15" hidden="false" customHeight="false" outlineLevel="0" collapsed="false">
      <c r="A130" s="16"/>
      <c r="B130" s="16"/>
      <c r="C130" s="16"/>
      <c r="D130" s="16"/>
      <c r="E130" s="16"/>
      <c r="F130" s="16"/>
      <c r="G130" s="4" t="str">
        <f aca="false">IF(OR(E130="",F130=""),"",F130-E130)</f>
        <v/>
      </c>
      <c r="H130" s="4" t="str">
        <f aca="false">IF(OR(E130="",D130="partial"),"",IF(F130="","No (missed)",IF(ABS(G130)&lt;=0.5,"Yes","No")))</f>
        <v/>
      </c>
      <c r="I130" s="16"/>
      <c r="J130" s="16"/>
      <c r="K130" s="16"/>
      <c r="L130" s="16"/>
      <c r="M130" s="16"/>
      <c r="N130" s="16"/>
    </row>
    <row r="131" customFormat="false" ht="15" hidden="false" customHeight="false" outlineLevel="0" collapsed="false">
      <c r="A131" s="16"/>
      <c r="B131" s="16"/>
      <c r="C131" s="16"/>
      <c r="D131" s="16"/>
      <c r="E131" s="16"/>
      <c r="F131" s="16"/>
      <c r="G131" s="4" t="str">
        <f aca="false">IF(OR(E131="",F131=""),"",F131-E131)</f>
        <v/>
      </c>
      <c r="H131" s="4" t="str">
        <f aca="false">IF(OR(E131="",D131="partial"),"",IF(F131="","No (missed)",IF(ABS(G131)&lt;=0.5,"Yes","No")))</f>
        <v/>
      </c>
      <c r="I131" s="16"/>
      <c r="J131" s="16"/>
      <c r="K131" s="16"/>
      <c r="L131" s="16"/>
      <c r="M131" s="16"/>
      <c r="N131" s="16"/>
    </row>
    <row r="132" customFormat="false" ht="15" hidden="false" customHeight="false" outlineLevel="0" collapsed="false">
      <c r="A132" s="16"/>
      <c r="B132" s="16"/>
      <c r="C132" s="16"/>
      <c r="D132" s="16"/>
      <c r="E132" s="16"/>
      <c r="F132" s="16"/>
      <c r="G132" s="4" t="str">
        <f aca="false">IF(OR(E132="",F132=""),"",F132-E132)</f>
        <v/>
      </c>
      <c r="H132" s="4" t="str">
        <f aca="false">IF(OR(E132="",D132="partial"),"",IF(F132="","No (missed)",IF(ABS(G132)&lt;=0.5,"Yes","No")))</f>
        <v/>
      </c>
      <c r="I132" s="16"/>
      <c r="J132" s="16"/>
      <c r="K132" s="16"/>
      <c r="L132" s="16"/>
      <c r="M132" s="16"/>
      <c r="N132" s="16"/>
    </row>
    <row r="133" customFormat="false" ht="15" hidden="false" customHeight="false" outlineLevel="0" collapsed="false">
      <c r="A133" s="16"/>
      <c r="B133" s="16"/>
      <c r="C133" s="16"/>
      <c r="D133" s="16"/>
      <c r="E133" s="16"/>
      <c r="F133" s="16"/>
      <c r="G133" s="4" t="str">
        <f aca="false">IF(OR(E133="",F133=""),"",F133-E133)</f>
        <v/>
      </c>
      <c r="H133" s="4" t="str">
        <f aca="false">IF(OR(E133="",D133="partial"),"",IF(F133="","No (missed)",IF(ABS(G133)&lt;=0.5,"Yes","No")))</f>
        <v/>
      </c>
      <c r="I133" s="16"/>
      <c r="J133" s="16"/>
      <c r="K133" s="16"/>
      <c r="L133" s="16"/>
      <c r="M133" s="16"/>
      <c r="N133" s="16"/>
    </row>
    <row r="134" customFormat="false" ht="15" hidden="false" customHeight="false" outlineLevel="0" collapsed="false">
      <c r="A134" s="16"/>
      <c r="B134" s="16"/>
      <c r="C134" s="16"/>
      <c r="D134" s="16"/>
      <c r="E134" s="16"/>
      <c r="F134" s="16"/>
      <c r="G134" s="4" t="str">
        <f aca="false">IF(OR(E134="",F134=""),"",F134-E134)</f>
        <v/>
      </c>
      <c r="H134" s="4" t="str">
        <f aca="false">IF(OR(E134="",D134="partial"),"",IF(F134="","No (missed)",IF(ABS(G134)&lt;=0.5,"Yes","No")))</f>
        <v/>
      </c>
      <c r="I134" s="16"/>
      <c r="J134" s="16"/>
      <c r="K134" s="16"/>
      <c r="L134" s="16"/>
      <c r="M134" s="16"/>
      <c r="N134" s="16"/>
    </row>
    <row r="135" customFormat="false" ht="15" hidden="false" customHeight="false" outlineLevel="0" collapsed="false">
      <c r="A135" s="16"/>
      <c r="B135" s="16"/>
      <c r="C135" s="16"/>
      <c r="D135" s="16"/>
      <c r="E135" s="16"/>
      <c r="F135" s="16"/>
      <c r="G135" s="4" t="str">
        <f aca="false">IF(OR(E135="",F135=""),"",F135-E135)</f>
        <v/>
      </c>
      <c r="H135" s="4" t="str">
        <f aca="false">IF(OR(E135="",D135="partial"),"",IF(F135="","No (missed)",IF(ABS(G135)&lt;=0.5,"Yes","No")))</f>
        <v/>
      </c>
      <c r="I135" s="16"/>
      <c r="J135" s="16"/>
      <c r="K135" s="16"/>
      <c r="L135" s="16"/>
      <c r="M135" s="16"/>
      <c r="N135" s="16"/>
    </row>
    <row r="136" customFormat="false" ht="15" hidden="false" customHeight="false" outlineLevel="0" collapsed="false">
      <c r="A136" s="16"/>
      <c r="B136" s="16"/>
      <c r="C136" s="16"/>
      <c r="D136" s="16"/>
      <c r="E136" s="16"/>
      <c r="F136" s="16"/>
      <c r="G136" s="4" t="str">
        <f aca="false">IF(OR(E136="",F136=""),"",F136-E136)</f>
        <v/>
      </c>
      <c r="H136" s="4" t="str">
        <f aca="false">IF(OR(E136="",D136="partial"),"",IF(F136="","No (missed)",IF(ABS(G136)&lt;=0.5,"Yes","No")))</f>
        <v/>
      </c>
      <c r="I136" s="16"/>
      <c r="J136" s="16"/>
      <c r="K136" s="16"/>
      <c r="L136" s="16"/>
      <c r="M136" s="16"/>
      <c r="N136" s="16"/>
    </row>
    <row r="137" customFormat="false" ht="15" hidden="false" customHeight="false" outlineLevel="0" collapsed="false">
      <c r="A137" s="16"/>
      <c r="B137" s="16"/>
      <c r="C137" s="16"/>
      <c r="D137" s="16"/>
      <c r="E137" s="16"/>
      <c r="F137" s="16"/>
      <c r="G137" s="4" t="str">
        <f aca="false">IF(OR(E137="",F137=""),"",F137-E137)</f>
        <v/>
      </c>
      <c r="H137" s="4" t="str">
        <f aca="false">IF(OR(E137="",D137="partial"),"",IF(F137="","No (missed)",IF(ABS(G137)&lt;=0.5,"Yes","No")))</f>
        <v/>
      </c>
      <c r="I137" s="16"/>
      <c r="J137" s="16"/>
      <c r="K137" s="16"/>
      <c r="L137" s="16"/>
      <c r="M137" s="16"/>
      <c r="N137" s="16"/>
    </row>
    <row r="138" customFormat="false" ht="15" hidden="false" customHeight="false" outlineLevel="0" collapsed="false">
      <c r="A138" s="16"/>
      <c r="B138" s="16"/>
      <c r="C138" s="16"/>
      <c r="D138" s="16"/>
      <c r="E138" s="16"/>
      <c r="F138" s="16"/>
      <c r="G138" s="4" t="str">
        <f aca="false">IF(OR(E138="",F138=""),"",F138-E138)</f>
        <v/>
      </c>
      <c r="H138" s="4" t="str">
        <f aca="false">IF(OR(E138="",D138="partial"),"",IF(F138="","No (missed)",IF(ABS(G138)&lt;=0.5,"Yes","No")))</f>
        <v/>
      </c>
      <c r="I138" s="16"/>
      <c r="J138" s="16"/>
      <c r="K138" s="16"/>
      <c r="L138" s="16"/>
      <c r="M138" s="16"/>
      <c r="N138" s="16"/>
    </row>
    <row r="139" customFormat="false" ht="15" hidden="false" customHeight="false" outlineLevel="0" collapsed="false">
      <c r="A139" s="16"/>
      <c r="B139" s="16"/>
      <c r="C139" s="16"/>
      <c r="D139" s="16"/>
      <c r="E139" s="16"/>
      <c r="F139" s="16"/>
      <c r="G139" s="4" t="str">
        <f aca="false">IF(OR(E139="",F139=""),"",F139-E139)</f>
        <v/>
      </c>
      <c r="H139" s="4" t="str">
        <f aca="false">IF(OR(E139="",D139="partial"),"",IF(F139="","No (missed)",IF(ABS(G139)&lt;=0.5,"Yes","No")))</f>
        <v/>
      </c>
      <c r="I139" s="16"/>
      <c r="J139" s="16"/>
      <c r="K139" s="16"/>
      <c r="L139" s="16"/>
      <c r="M139" s="16"/>
      <c r="N139" s="16"/>
    </row>
    <row r="140" customFormat="false" ht="15" hidden="false" customHeight="false" outlineLevel="0" collapsed="false">
      <c r="A140" s="16"/>
      <c r="B140" s="16"/>
      <c r="C140" s="16"/>
      <c r="D140" s="16"/>
      <c r="E140" s="16"/>
      <c r="F140" s="16"/>
      <c r="G140" s="4" t="str">
        <f aca="false">IF(OR(E140="",F140=""),"",F140-E140)</f>
        <v/>
      </c>
      <c r="H140" s="4" t="str">
        <f aca="false">IF(OR(E140="",D140="partial"),"",IF(F140="","No (missed)",IF(ABS(G140)&lt;=0.5,"Yes","No")))</f>
        <v/>
      </c>
      <c r="I140" s="16"/>
      <c r="J140" s="16"/>
      <c r="K140" s="16"/>
      <c r="L140" s="16"/>
      <c r="M140" s="16"/>
      <c r="N140" s="16"/>
    </row>
    <row r="141" customFormat="false" ht="15" hidden="false" customHeight="false" outlineLevel="0" collapsed="false">
      <c r="A141" s="16"/>
      <c r="B141" s="16"/>
      <c r="C141" s="16"/>
      <c r="D141" s="16"/>
      <c r="E141" s="16"/>
      <c r="F141" s="16"/>
      <c r="G141" s="4" t="str">
        <f aca="false">IF(OR(E141="",F141=""),"",F141-E141)</f>
        <v/>
      </c>
      <c r="H141" s="4" t="str">
        <f aca="false">IF(OR(E141="",D141="partial"),"",IF(F141="","No (missed)",IF(ABS(G141)&lt;=0.5,"Yes","No")))</f>
        <v/>
      </c>
      <c r="I141" s="16"/>
      <c r="J141" s="16"/>
      <c r="K141" s="16"/>
      <c r="L141" s="16"/>
      <c r="M141" s="16"/>
      <c r="N141" s="16"/>
    </row>
    <row r="142" customFormat="false" ht="15" hidden="false" customHeight="false" outlineLevel="0" collapsed="false">
      <c r="A142" s="16"/>
      <c r="B142" s="16"/>
      <c r="C142" s="16"/>
      <c r="D142" s="16"/>
      <c r="E142" s="16"/>
      <c r="F142" s="16"/>
      <c r="G142" s="4" t="str">
        <f aca="false">IF(OR(E142="",F142=""),"",F142-E142)</f>
        <v/>
      </c>
      <c r="H142" s="4" t="str">
        <f aca="false">IF(OR(E142="",D142="partial"),"",IF(F142="","No (missed)",IF(ABS(G142)&lt;=0.5,"Yes","No")))</f>
        <v/>
      </c>
      <c r="I142" s="16"/>
      <c r="J142" s="16"/>
      <c r="K142" s="16"/>
      <c r="L142" s="16"/>
      <c r="M142" s="16"/>
      <c r="N142" s="16"/>
    </row>
    <row r="143" customFormat="false" ht="15" hidden="false" customHeight="false" outlineLevel="0" collapsed="false">
      <c r="A143" s="16"/>
      <c r="B143" s="16"/>
      <c r="C143" s="16"/>
      <c r="D143" s="16"/>
      <c r="E143" s="16"/>
      <c r="F143" s="16"/>
      <c r="G143" s="4" t="str">
        <f aca="false">IF(OR(E143="",F143=""),"",F143-E143)</f>
        <v/>
      </c>
      <c r="H143" s="4" t="str">
        <f aca="false">IF(OR(E143="",D143="partial"),"",IF(F143="","No (missed)",IF(ABS(G143)&lt;=0.5,"Yes","No")))</f>
        <v/>
      </c>
      <c r="I143" s="16"/>
      <c r="J143" s="16"/>
      <c r="K143" s="16"/>
      <c r="L143" s="16"/>
      <c r="M143" s="16"/>
      <c r="N143" s="16"/>
    </row>
    <row r="144" customFormat="false" ht="15" hidden="false" customHeight="false" outlineLevel="0" collapsed="false">
      <c r="A144" s="16"/>
      <c r="B144" s="16"/>
      <c r="C144" s="16"/>
      <c r="D144" s="16"/>
      <c r="E144" s="16"/>
      <c r="F144" s="16"/>
      <c r="G144" s="4" t="str">
        <f aca="false">IF(OR(E144="",F144=""),"",F144-E144)</f>
        <v/>
      </c>
      <c r="H144" s="4" t="str">
        <f aca="false">IF(OR(E144="",D144="partial"),"",IF(F144="","No (missed)",IF(ABS(G144)&lt;=0.5,"Yes","No")))</f>
        <v/>
      </c>
      <c r="I144" s="16"/>
      <c r="J144" s="16"/>
      <c r="K144" s="16"/>
      <c r="L144" s="16"/>
      <c r="M144" s="16"/>
      <c r="N144" s="16"/>
    </row>
    <row r="145" customFormat="false" ht="15" hidden="false" customHeight="false" outlineLevel="0" collapsed="false">
      <c r="A145" s="16"/>
      <c r="B145" s="16"/>
      <c r="C145" s="16"/>
      <c r="D145" s="16"/>
      <c r="E145" s="16"/>
      <c r="F145" s="16"/>
      <c r="G145" s="4" t="str">
        <f aca="false">IF(OR(E145="",F145=""),"",F145-E145)</f>
        <v/>
      </c>
      <c r="H145" s="4" t="str">
        <f aca="false">IF(OR(E145="",D145="partial"),"",IF(F145="","No (missed)",IF(ABS(G145)&lt;=0.5,"Yes","No")))</f>
        <v/>
      </c>
      <c r="I145" s="16"/>
      <c r="J145" s="16"/>
      <c r="K145" s="16"/>
      <c r="L145" s="16"/>
      <c r="M145" s="16"/>
      <c r="N145" s="16"/>
    </row>
    <row r="146" customFormat="false" ht="15" hidden="false" customHeight="false" outlineLevel="0" collapsed="false">
      <c r="A146" s="16"/>
      <c r="B146" s="16"/>
      <c r="C146" s="16"/>
      <c r="D146" s="16"/>
      <c r="E146" s="16"/>
      <c r="F146" s="16"/>
      <c r="G146" s="4" t="str">
        <f aca="false">IF(OR(E146="",F146=""),"",F146-E146)</f>
        <v/>
      </c>
      <c r="H146" s="4" t="str">
        <f aca="false">IF(OR(E146="",D146="partial"),"",IF(F146="","No (missed)",IF(ABS(G146)&lt;=0.5,"Yes","No")))</f>
        <v/>
      </c>
      <c r="I146" s="16"/>
      <c r="J146" s="16"/>
      <c r="K146" s="16"/>
      <c r="L146" s="16"/>
      <c r="M146" s="16"/>
      <c r="N146" s="16"/>
    </row>
    <row r="147" customFormat="false" ht="15" hidden="false" customHeight="false" outlineLevel="0" collapsed="false">
      <c r="A147" s="16"/>
      <c r="B147" s="16"/>
      <c r="C147" s="16"/>
      <c r="D147" s="16"/>
      <c r="E147" s="16"/>
      <c r="F147" s="16"/>
      <c r="G147" s="4" t="str">
        <f aca="false">IF(OR(E147="",F147=""),"",F147-E147)</f>
        <v/>
      </c>
      <c r="H147" s="4" t="str">
        <f aca="false">IF(OR(E147="",D147="partial"),"",IF(F147="","No (missed)",IF(ABS(G147)&lt;=0.5,"Yes","No")))</f>
        <v/>
      </c>
      <c r="I147" s="16"/>
      <c r="J147" s="16"/>
      <c r="K147" s="16"/>
      <c r="L147" s="16"/>
      <c r="M147" s="16"/>
      <c r="N147" s="16"/>
    </row>
    <row r="148" customFormat="false" ht="15" hidden="false" customHeight="false" outlineLevel="0" collapsed="false">
      <c r="A148" s="16"/>
      <c r="B148" s="16"/>
      <c r="C148" s="16"/>
      <c r="D148" s="16"/>
      <c r="E148" s="16"/>
      <c r="F148" s="16"/>
      <c r="G148" s="4" t="str">
        <f aca="false">IF(OR(E148="",F148=""),"",F148-E148)</f>
        <v/>
      </c>
      <c r="H148" s="4" t="str">
        <f aca="false">IF(OR(E148="",D148="partial"),"",IF(F148="","No (missed)",IF(ABS(G148)&lt;=0.5,"Yes","No")))</f>
        <v/>
      </c>
      <c r="I148" s="16"/>
      <c r="J148" s="16"/>
      <c r="K148" s="16"/>
      <c r="L148" s="16"/>
      <c r="M148" s="16"/>
      <c r="N148" s="16"/>
    </row>
    <row r="149" customFormat="false" ht="15" hidden="false" customHeight="false" outlineLevel="0" collapsed="false">
      <c r="A149" s="16"/>
      <c r="B149" s="16"/>
      <c r="C149" s="16"/>
      <c r="D149" s="16"/>
      <c r="E149" s="16"/>
      <c r="F149" s="16"/>
      <c r="G149" s="4" t="str">
        <f aca="false">IF(OR(E149="",F149=""),"",F149-E149)</f>
        <v/>
      </c>
      <c r="H149" s="4" t="str">
        <f aca="false">IF(OR(E149="",D149="partial"),"",IF(F149="","No (missed)",IF(ABS(G149)&lt;=0.5,"Yes","No")))</f>
        <v/>
      </c>
      <c r="I149" s="16"/>
      <c r="J149" s="16"/>
      <c r="K149" s="16"/>
      <c r="L149" s="16"/>
      <c r="M149" s="16"/>
      <c r="N149" s="16"/>
    </row>
    <row r="150" customFormat="false" ht="15" hidden="false" customHeight="false" outlineLevel="0" collapsed="false">
      <c r="A150" s="16"/>
      <c r="B150" s="16"/>
      <c r="C150" s="16"/>
      <c r="D150" s="16"/>
      <c r="E150" s="16"/>
      <c r="F150" s="16"/>
      <c r="G150" s="4" t="str">
        <f aca="false">IF(OR(E150="",F150=""),"",F150-E150)</f>
        <v/>
      </c>
      <c r="H150" s="4" t="str">
        <f aca="false">IF(OR(E150="",D150="partial"),"",IF(F150="","No (missed)",IF(ABS(G150)&lt;=0.5,"Yes","No")))</f>
        <v/>
      </c>
      <c r="I150" s="16"/>
      <c r="J150" s="16"/>
      <c r="K150" s="16"/>
      <c r="L150" s="16"/>
      <c r="M150" s="16"/>
      <c r="N150" s="16"/>
    </row>
    <row r="151" customFormat="false" ht="15" hidden="false" customHeight="false" outlineLevel="0" collapsed="false">
      <c r="A151" s="16"/>
      <c r="B151" s="16"/>
      <c r="C151" s="16"/>
      <c r="D151" s="16"/>
      <c r="E151" s="16"/>
      <c r="F151" s="16"/>
      <c r="G151" s="4" t="str">
        <f aca="false">IF(OR(E151="",F151=""),"",F151-E151)</f>
        <v/>
      </c>
      <c r="H151" s="4" t="str">
        <f aca="false">IF(OR(E151="",D151="partial"),"",IF(F151="","No (missed)",IF(ABS(G151)&lt;=0.5,"Yes","No")))</f>
        <v/>
      </c>
      <c r="I151" s="16"/>
      <c r="J151" s="16"/>
      <c r="K151" s="16"/>
      <c r="L151" s="16"/>
      <c r="M151" s="16"/>
      <c r="N151" s="16"/>
    </row>
    <row r="152" customFormat="false" ht="15" hidden="false" customHeight="false" outlineLevel="0" collapsed="false">
      <c r="A152" s="16"/>
      <c r="B152" s="16"/>
      <c r="C152" s="16"/>
      <c r="D152" s="16"/>
      <c r="E152" s="16"/>
      <c r="F152" s="16"/>
      <c r="G152" s="4" t="str">
        <f aca="false">IF(OR(E152="",F152=""),"",F152-E152)</f>
        <v/>
      </c>
      <c r="H152" s="4" t="str">
        <f aca="false">IF(OR(E152="",D152="partial"),"",IF(F152="","No (missed)",IF(ABS(G152)&lt;=0.5,"Yes","No")))</f>
        <v/>
      </c>
      <c r="I152" s="16"/>
      <c r="J152" s="16"/>
      <c r="K152" s="16"/>
      <c r="L152" s="16"/>
      <c r="M152" s="16"/>
      <c r="N152" s="16"/>
    </row>
    <row r="153" customFormat="false" ht="15" hidden="false" customHeight="false" outlineLevel="0" collapsed="false">
      <c r="A153" s="16"/>
      <c r="B153" s="16"/>
      <c r="C153" s="16"/>
      <c r="D153" s="16"/>
      <c r="E153" s="16"/>
      <c r="F153" s="16"/>
      <c r="G153" s="4" t="str">
        <f aca="false">IF(OR(E153="",F153=""),"",F153-E153)</f>
        <v/>
      </c>
      <c r="H153" s="4" t="str">
        <f aca="false">IF(OR(E153="",D153="partial"),"",IF(F153="","No (missed)",IF(ABS(G153)&lt;=0.5,"Yes","No")))</f>
        <v/>
      </c>
      <c r="I153" s="16"/>
      <c r="J153" s="16"/>
      <c r="K153" s="16"/>
      <c r="L153" s="16"/>
      <c r="M153" s="16"/>
      <c r="N153" s="16"/>
    </row>
    <row r="154" customFormat="false" ht="15" hidden="false" customHeight="false" outlineLevel="0" collapsed="false">
      <c r="A154" s="16"/>
      <c r="B154" s="16"/>
      <c r="C154" s="16"/>
      <c r="D154" s="16"/>
      <c r="E154" s="16"/>
      <c r="F154" s="16"/>
      <c r="G154" s="4" t="str">
        <f aca="false">IF(OR(E154="",F154=""),"",F154-E154)</f>
        <v/>
      </c>
      <c r="H154" s="4" t="str">
        <f aca="false">IF(OR(E154="",D154="partial"),"",IF(F154="","No (missed)",IF(ABS(G154)&lt;=0.5,"Yes","No")))</f>
        <v/>
      </c>
      <c r="I154" s="16"/>
      <c r="J154" s="16"/>
      <c r="K154" s="16"/>
      <c r="L154" s="16"/>
      <c r="M154" s="16"/>
      <c r="N154" s="16"/>
    </row>
    <row r="155" customFormat="false" ht="15" hidden="false" customHeight="false" outlineLevel="0" collapsed="false">
      <c r="A155" s="16"/>
      <c r="B155" s="16"/>
      <c r="C155" s="16"/>
      <c r="D155" s="16"/>
      <c r="E155" s="16"/>
      <c r="F155" s="16"/>
      <c r="G155" s="4" t="str">
        <f aca="false">IF(OR(E155="",F155=""),"",F155-E155)</f>
        <v/>
      </c>
      <c r="H155" s="4" t="str">
        <f aca="false">IF(OR(E155="",D155="partial"),"",IF(F155="","No (missed)",IF(ABS(G155)&lt;=0.5,"Yes","No")))</f>
        <v/>
      </c>
      <c r="I155" s="16"/>
      <c r="J155" s="16"/>
      <c r="K155" s="16"/>
      <c r="L155" s="16"/>
      <c r="M155" s="16"/>
      <c r="N155" s="16"/>
    </row>
    <row r="156" customFormat="false" ht="15" hidden="false" customHeight="false" outlineLevel="0" collapsed="false">
      <c r="A156" s="16"/>
      <c r="B156" s="16"/>
      <c r="C156" s="16"/>
      <c r="D156" s="16"/>
      <c r="E156" s="16"/>
      <c r="F156" s="16"/>
      <c r="G156" s="4" t="str">
        <f aca="false">IF(OR(E156="",F156=""),"",F156-E156)</f>
        <v/>
      </c>
      <c r="H156" s="4" t="str">
        <f aca="false">IF(OR(E156="",D156="partial"),"",IF(F156="","No (missed)",IF(ABS(G156)&lt;=0.5,"Yes","No")))</f>
        <v/>
      </c>
      <c r="I156" s="16"/>
      <c r="J156" s="16"/>
      <c r="K156" s="16"/>
      <c r="L156" s="16"/>
      <c r="M156" s="16"/>
      <c r="N156" s="16"/>
    </row>
    <row r="157" customFormat="false" ht="15" hidden="false" customHeight="false" outlineLevel="0" collapsed="false">
      <c r="A157" s="16"/>
      <c r="B157" s="16"/>
      <c r="C157" s="16"/>
      <c r="D157" s="16"/>
      <c r="E157" s="16"/>
      <c r="F157" s="16"/>
      <c r="G157" s="4" t="str">
        <f aca="false">IF(OR(E157="",F157=""),"",F157-E157)</f>
        <v/>
      </c>
      <c r="H157" s="4" t="str">
        <f aca="false">IF(OR(E157="",D157="partial"),"",IF(F157="","No (missed)",IF(ABS(G157)&lt;=0.5,"Yes","No")))</f>
        <v/>
      </c>
      <c r="I157" s="16"/>
      <c r="J157" s="16"/>
      <c r="K157" s="16"/>
      <c r="L157" s="16"/>
      <c r="M157" s="16"/>
      <c r="N157" s="16"/>
    </row>
    <row r="158" customFormat="false" ht="15" hidden="false" customHeight="false" outlineLevel="0" collapsed="false">
      <c r="A158" s="16"/>
      <c r="B158" s="16"/>
      <c r="C158" s="16"/>
      <c r="D158" s="16"/>
      <c r="E158" s="16"/>
      <c r="F158" s="16"/>
      <c r="G158" s="4" t="str">
        <f aca="false">IF(OR(E158="",F158=""),"",F158-E158)</f>
        <v/>
      </c>
      <c r="H158" s="4" t="str">
        <f aca="false">IF(OR(E158="",D158="partial"),"",IF(F158="","No (missed)",IF(ABS(G158)&lt;=0.5,"Yes","No")))</f>
        <v/>
      </c>
      <c r="I158" s="16"/>
      <c r="J158" s="16"/>
      <c r="K158" s="16"/>
      <c r="L158" s="16"/>
      <c r="M158" s="16"/>
      <c r="N158" s="16"/>
    </row>
    <row r="159" customFormat="false" ht="15" hidden="false" customHeight="false" outlineLevel="0" collapsed="false">
      <c r="A159" s="16"/>
      <c r="B159" s="16"/>
      <c r="C159" s="16"/>
      <c r="D159" s="16"/>
      <c r="E159" s="16"/>
      <c r="F159" s="16"/>
      <c r="G159" s="4" t="str">
        <f aca="false">IF(OR(E159="",F159=""),"",F159-E159)</f>
        <v/>
      </c>
      <c r="H159" s="4" t="str">
        <f aca="false">IF(OR(E159="",D159="partial"),"",IF(F159="","No (missed)",IF(ABS(G159)&lt;=0.5,"Yes","No")))</f>
        <v/>
      </c>
      <c r="I159" s="16"/>
      <c r="J159" s="16"/>
      <c r="K159" s="16"/>
      <c r="L159" s="16"/>
      <c r="M159" s="16"/>
      <c r="N159" s="16"/>
    </row>
    <row r="160" customFormat="false" ht="15" hidden="false" customHeight="false" outlineLevel="0" collapsed="false">
      <c r="A160" s="16"/>
      <c r="B160" s="16"/>
      <c r="C160" s="16"/>
      <c r="D160" s="16"/>
      <c r="E160" s="16"/>
      <c r="F160" s="16"/>
      <c r="G160" s="4" t="str">
        <f aca="false">IF(OR(E160="",F160=""),"",F160-E160)</f>
        <v/>
      </c>
      <c r="H160" s="4" t="str">
        <f aca="false">IF(OR(E160="",D160="partial"),"",IF(F160="","No (missed)",IF(ABS(G160)&lt;=0.5,"Yes","No")))</f>
        <v/>
      </c>
      <c r="I160" s="16"/>
      <c r="J160" s="16"/>
      <c r="K160" s="16"/>
      <c r="L160" s="16"/>
      <c r="M160" s="16"/>
      <c r="N160" s="16"/>
    </row>
    <row r="161" customFormat="false" ht="15" hidden="false" customHeight="false" outlineLevel="0" collapsed="false">
      <c r="A161" s="16"/>
      <c r="B161" s="16"/>
      <c r="C161" s="16"/>
      <c r="D161" s="16"/>
      <c r="E161" s="16"/>
      <c r="F161" s="16"/>
      <c r="G161" s="4" t="str">
        <f aca="false">IF(OR(E161="",F161=""),"",F161-E161)</f>
        <v/>
      </c>
      <c r="H161" s="4" t="str">
        <f aca="false">IF(OR(E161="",D161="partial"),"",IF(F161="","No (missed)",IF(ABS(G161)&lt;=0.5,"Yes","No")))</f>
        <v/>
      </c>
      <c r="I161" s="16"/>
      <c r="J161" s="16"/>
      <c r="K161" s="16"/>
      <c r="L161" s="16"/>
      <c r="M161" s="16"/>
      <c r="N161" s="16"/>
    </row>
    <row r="162" customFormat="false" ht="15" hidden="false" customHeight="false" outlineLevel="0" collapsed="false">
      <c r="A162" s="16"/>
      <c r="B162" s="16"/>
      <c r="C162" s="16"/>
      <c r="D162" s="16"/>
      <c r="E162" s="16"/>
      <c r="F162" s="16"/>
      <c r="G162" s="4" t="str">
        <f aca="false">IF(OR(E162="",F162=""),"",F162-E162)</f>
        <v/>
      </c>
      <c r="H162" s="4" t="str">
        <f aca="false">IF(OR(E162="",D162="partial"),"",IF(F162="","No (missed)",IF(ABS(G162)&lt;=0.5,"Yes","No")))</f>
        <v/>
      </c>
      <c r="I162" s="16"/>
      <c r="J162" s="16"/>
      <c r="K162" s="16"/>
      <c r="L162" s="16"/>
      <c r="M162" s="16"/>
      <c r="N162" s="16"/>
    </row>
    <row r="163" customFormat="false" ht="15" hidden="false" customHeight="false" outlineLevel="0" collapsed="false">
      <c r="A163" s="16"/>
      <c r="B163" s="16"/>
      <c r="C163" s="16"/>
      <c r="D163" s="16"/>
      <c r="E163" s="16"/>
      <c r="F163" s="16"/>
      <c r="G163" s="4" t="str">
        <f aca="false">IF(OR(E163="",F163=""),"",F163-E163)</f>
        <v/>
      </c>
      <c r="H163" s="4" t="str">
        <f aca="false">IF(OR(E163="",D163="partial"),"",IF(F163="","No (missed)",IF(ABS(G163)&lt;=0.5,"Yes","No")))</f>
        <v/>
      </c>
      <c r="I163" s="16"/>
      <c r="J163" s="16"/>
      <c r="K163" s="16"/>
      <c r="L163" s="16"/>
      <c r="M163" s="16"/>
      <c r="N163" s="16"/>
    </row>
    <row r="164" customFormat="false" ht="15" hidden="false" customHeight="false" outlineLevel="0" collapsed="false">
      <c r="A164" s="16"/>
      <c r="B164" s="16"/>
      <c r="C164" s="16"/>
      <c r="D164" s="16"/>
      <c r="E164" s="16"/>
      <c r="F164" s="16"/>
      <c r="G164" s="4" t="str">
        <f aca="false">IF(OR(E164="",F164=""),"",F164-E164)</f>
        <v/>
      </c>
      <c r="H164" s="4" t="str">
        <f aca="false">IF(OR(E164="",D164="partial"),"",IF(F164="","No (missed)",IF(ABS(G164)&lt;=0.5,"Yes","No")))</f>
        <v/>
      </c>
      <c r="I164" s="16"/>
      <c r="J164" s="16"/>
      <c r="K164" s="16"/>
      <c r="L164" s="16"/>
      <c r="M164" s="16"/>
      <c r="N164" s="16"/>
    </row>
    <row r="165" customFormat="false" ht="15" hidden="false" customHeight="false" outlineLevel="0" collapsed="false">
      <c r="A165" s="16"/>
      <c r="B165" s="16"/>
      <c r="C165" s="16"/>
      <c r="D165" s="16"/>
      <c r="E165" s="16"/>
      <c r="F165" s="16"/>
      <c r="G165" s="4" t="str">
        <f aca="false">IF(OR(E165="",F165=""),"",F165-E165)</f>
        <v/>
      </c>
      <c r="H165" s="4" t="str">
        <f aca="false">IF(OR(E165="",D165="partial"),"",IF(F165="","No (missed)",IF(ABS(G165)&lt;=0.5,"Yes","No")))</f>
        <v/>
      </c>
      <c r="I165" s="16"/>
      <c r="J165" s="16"/>
      <c r="K165" s="16"/>
      <c r="L165" s="16"/>
      <c r="M165" s="16"/>
      <c r="N165" s="16"/>
    </row>
    <row r="166" customFormat="false" ht="15" hidden="false" customHeight="false" outlineLevel="0" collapsed="false">
      <c r="A166" s="16"/>
      <c r="B166" s="16"/>
      <c r="C166" s="16"/>
      <c r="D166" s="16"/>
      <c r="E166" s="16"/>
      <c r="F166" s="16"/>
      <c r="G166" s="4" t="str">
        <f aca="false">IF(OR(E166="",F166=""),"",F166-E166)</f>
        <v/>
      </c>
      <c r="H166" s="4" t="str">
        <f aca="false">IF(OR(E166="",D166="partial"),"",IF(F166="","No (missed)",IF(ABS(G166)&lt;=0.5,"Yes","No")))</f>
        <v/>
      </c>
      <c r="I166" s="16"/>
      <c r="J166" s="16"/>
      <c r="K166" s="16"/>
      <c r="L166" s="16"/>
      <c r="M166" s="16"/>
      <c r="N166" s="16"/>
    </row>
    <row r="167" customFormat="false" ht="15" hidden="false" customHeight="false" outlineLevel="0" collapsed="false">
      <c r="A167" s="16"/>
      <c r="B167" s="16"/>
      <c r="C167" s="16"/>
      <c r="D167" s="16"/>
      <c r="E167" s="16"/>
      <c r="F167" s="16"/>
      <c r="G167" s="4" t="str">
        <f aca="false">IF(OR(E167="",F167=""),"",F167-E167)</f>
        <v/>
      </c>
      <c r="H167" s="4" t="str">
        <f aca="false">IF(OR(E167="",D167="partial"),"",IF(F167="","No (missed)",IF(ABS(G167)&lt;=0.5,"Yes","No")))</f>
        <v/>
      </c>
      <c r="I167" s="16"/>
      <c r="J167" s="16"/>
      <c r="K167" s="16"/>
      <c r="L167" s="16"/>
      <c r="M167" s="16"/>
      <c r="N167" s="16"/>
    </row>
    <row r="168" customFormat="false" ht="15" hidden="false" customHeight="false" outlineLevel="0" collapsed="false">
      <c r="A168" s="16"/>
      <c r="B168" s="16"/>
      <c r="C168" s="16"/>
      <c r="D168" s="16"/>
      <c r="E168" s="16"/>
      <c r="F168" s="16"/>
      <c r="G168" s="4" t="str">
        <f aca="false">IF(OR(E168="",F168=""),"",F168-E168)</f>
        <v/>
      </c>
      <c r="H168" s="4" t="str">
        <f aca="false">IF(OR(E168="",D168="partial"),"",IF(F168="","No (missed)",IF(ABS(G168)&lt;=0.5,"Yes","No")))</f>
        <v/>
      </c>
      <c r="I168" s="16"/>
      <c r="J168" s="16"/>
      <c r="K168" s="16"/>
      <c r="L168" s="16"/>
      <c r="M168" s="16"/>
      <c r="N168" s="16"/>
    </row>
    <row r="169" customFormat="false" ht="15" hidden="false" customHeight="false" outlineLevel="0" collapsed="false">
      <c r="A169" s="16"/>
      <c r="B169" s="16"/>
      <c r="C169" s="16"/>
      <c r="D169" s="16"/>
      <c r="E169" s="16"/>
      <c r="F169" s="16"/>
      <c r="G169" s="4" t="str">
        <f aca="false">IF(OR(E169="",F169=""),"",F169-E169)</f>
        <v/>
      </c>
      <c r="H169" s="4" t="str">
        <f aca="false">IF(OR(E169="",D169="partial"),"",IF(F169="","No (missed)",IF(ABS(G169)&lt;=0.5,"Yes","No")))</f>
        <v/>
      </c>
      <c r="I169" s="16"/>
      <c r="J169" s="16"/>
      <c r="K169" s="16"/>
      <c r="L169" s="16"/>
      <c r="M169" s="16"/>
      <c r="N169" s="16"/>
    </row>
    <row r="170" customFormat="false" ht="15" hidden="false" customHeight="false" outlineLevel="0" collapsed="false">
      <c r="A170" s="16"/>
      <c r="B170" s="16"/>
      <c r="C170" s="16"/>
      <c r="D170" s="16"/>
      <c r="E170" s="16"/>
      <c r="F170" s="16"/>
      <c r="G170" s="4" t="str">
        <f aca="false">IF(OR(E170="",F170=""),"",F170-E170)</f>
        <v/>
      </c>
      <c r="H170" s="4" t="str">
        <f aca="false">IF(OR(E170="",D170="partial"),"",IF(F170="","No (missed)",IF(ABS(G170)&lt;=0.5,"Yes","No")))</f>
        <v/>
      </c>
      <c r="I170" s="16"/>
      <c r="J170" s="16"/>
      <c r="K170" s="16"/>
      <c r="L170" s="16"/>
      <c r="M170" s="16"/>
      <c r="N170" s="16"/>
    </row>
    <row r="171" customFormat="false" ht="15" hidden="false" customHeight="false" outlineLevel="0" collapsed="false">
      <c r="A171" s="16"/>
      <c r="B171" s="16"/>
      <c r="C171" s="16"/>
      <c r="D171" s="16"/>
      <c r="E171" s="16"/>
      <c r="F171" s="16"/>
      <c r="G171" s="4" t="str">
        <f aca="false">IF(OR(E171="",F171=""),"",F171-E171)</f>
        <v/>
      </c>
      <c r="H171" s="4" t="str">
        <f aca="false">IF(OR(E171="",D171="partial"),"",IF(F171="","No (missed)",IF(ABS(G171)&lt;=0.5,"Yes","No")))</f>
        <v/>
      </c>
      <c r="I171" s="16"/>
      <c r="J171" s="16"/>
      <c r="K171" s="16"/>
      <c r="L171" s="16"/>
      <c r="M171" s="16"/>
      <c r="N171" s="16"/>
    </row>
    <row r="172" customFormat="false" ht="15" hidden="false" customHeight="false" outlineLevel="0" collapsed="false">
      <c r="A172" s="16"/>
      <c r="B172" s="16"/>
      <c r="C172" s="16"/>
      <c r="D172" s="16"/>
      <c r="E172" s="16"/>
      <c r="F172" s="16"/>
      <c r="G172" s="4" t="str">
        <f aca="false">IF(OR(E172="",F172=""),"",F172-E172)</f>
        <v/>
      </c>
      <c r="H172" s="4" t="str">
        <f aca="false">IF(OR(E172="",D172="partial"),"",IF(F172="","No (missed)",IF(ABS(G172)&lt;=0.5,"Yes","No")))</f>
        <v/>
      </c>
      <c r="I172" s="16"/>
      <c r="J172" s="16"/>
      <c r="K172" s="16"/>
      <c r="L172" s="16"/>
      <c r="M172" s="16"/>
      <c r="N172" s="16"/>
    </row>
    <row r="173" customFormat="false" ht="15" hidden="false" customHeight="false" outlineLevel="0" collapsed="false">
      <c r="A173" s="16"/>
      <c r="B173" s="16"/>
      <c r="C173" s="16"/>
      <c r="D173" s="16"/>
      <c r="E173" s="16"/>
      <c r="F173" s="16"/>
      <c r="G173" s="4" t="str">
        <f aca="false">IF(OR(E173="",F173=""),"",F173-E173)</f>
        <v/>
      </c>
      <c r="H173" s="4" t="str">
        <f aca="false">IF(OR(E173="",D173="partial"),"",IF(F173="","No (missed)",IF(ABS(G173)&lt;=0.5,"Yes","No")))</f>
        <v/>
      </c>
      <c r="I173" s="16"/>
      <c r="J173" s="16"/>
      <c r="K173" s="16"/>
      <c r="L173" s="16"/>
      <c r="M173" s="16"/>
      <c r="N173" s="16"/>
    </row>
    <row r="174" customFormat="false" ht="15" hidden="false" customHeight="false" outlineLevel="0" collapsed="false">
      <c r="A174" s="16"/>
      <c r="B174" s="16"/>
      <c r="C174" s="16"/>
      <c r="D174" s="16"/>
      <c r="E174" s="16"/>
      <c r="F174" s="16"/>
      <c r="G174" s="4" t="str">
        <f aca="false">IF(OR(E174="",F174=""),"",F174-E174)</f>
        <v/>
      </c>
      <c r="H174" s="4" t="str">
        <f aca="false">IF(OR(E174="",D174="partial"),"",IF(F174="","No (missed)",IF(ABS(G174)&lt;=0.5,"Yes","No")))</f>
        <v/>
      </c>
      <c r="I174" s="16"/>
      <c r="J174" s="16"/>
      <c r="K174" s="16"/>
      <c r="L174" s="16"/>
      <c r="M174" s="16"/>
      <c r="N174" s="16"/>
    </row>
    <row r="175" customFormat="false" ht="15" hidden="false" customHeight="false" outlineLevel="0" collapsed="false">
      <c r="A175" s="16"/>
      <c r="B175" s="16"/>
      <c r="C175" s="16"/>
      <c r="D175" s="16"/>
      <c r="E175" s="16"/>
      <c r="F175" s="16"/>
      <c r="G175" s="4" t="str">
        <f aca="false">IF(OR(E175="",F175=""),"",F175-E175)</f>
        <v/>
      </c>
      <c r="H175" s="4" t="str">
        <f aca="false">IF(OR(E175="",D175="partial"),"",IF(F175="","No (missed)",IF(ABS(G175)&lt;=0.5,"Yes","No")))</f>
        <v/>
      </c>
      <c r="I175" s="16"/>
      <c r="J175" s="16"/>
      <c r="K175" s="16"/>
      <c r="L175" s="16"/>
      <c r="M175" s="16"/>
      <c r="N175" s="16"/>
    </row>
    <row r="176" customFormat="false" ht="15" hidden="false" customHeight="false" outlineLevel="0" collapsed="false">
      <c r="A176" s="16"/>
      <c r="B176" s="16"/>
      <c r="C176" s="16"/>
      <c r="D176" s="16"/>
      <c r="E176" s="16"/>
      <c r="F176" s="16"/>
      <c r="G176" s="4" t="str">
        <f aca="false">IF(OR(E176="",F176=""),"",F176-E176)</f>
        <v/>
      </c>
      <c r="H176" s="4" t="str">
        <f aca="false">IF(OR(E176="",D176="partial"),"",IF(F176="","No (missed)",IF(ABS(G176)&lt;=0.5,"Yes","No")))</f>
        <v/>
      </c>
      <c r="I176" s="16"/>
      <c r="J176" s="16"/>
      <c r="K176" s="16"/>
      <c r="L176" s="16"/>
      <c r="M176" s="16"/>
      <c r="N176" s="16"/>
    </row>
    <row r="177" customFormat="false" ht="15" hidden="false" customHeight="false" outlineLevel="0" collapsed="false">
      <c r="A177" s="16"/>
      <c r="B177" s="16"/>
      <c r="C177" s="16"/>
      <c r="D177" s="16"/>
      <c r="E177" s="16"/>
      <c r="F177" s="16"/>
      <c r="G177" s="4" t="str">
        <f aca="false">IF(OR(E177="",F177=""),"",F177-E177)</f>
        <v/>
      </c>
      <c r="H177" s="4" t="str">
        <f aca="false">IF(OR(E177="",D177="partial"),"",IF(F177="","No (missed)",IF(ABS(G177)&lt;=0.5,"Yes","No")))</f>
        <v/>
      </c>
      <c r="I177" s="16"/>
      <c r="J177" s="16"/>
      <c r="K177" s="16"/>
      <c r="L177" s="16"/>
      <c r="M177" s="16"/>
      <c r="N177" s="16"/>
    </row>
    <row r="178" customFormat="false" ht="15" hidden="false" customHeight="false" outlineLevel="0" collapsed="false">
      <c r="A178" s="16"/>
      <c r="B178" s="16"/>
      <c r="C178" s="16"/>
      <c r="D178" s="16"/>
      <c r="E178" s="16"/>
      <c r="F178" s="16"/>
      <c r="G178" s="4" t="str">
        <f aca="false">IF(OR(E178="",F178=""),"",F178-E178)</f>
        <v/>
      </c>
      <c r="H178" s="4" t="str">
        <f aca="false">IF(OR(E178="",D178="partial"),"",IF(F178="","No (missed)",IF(ABS(G178)&lt;=0.5,"Yes","No")))</f>
        <v/>
      </c>
      <c r="I178" s="16"/>
      <c r="J178" s="16"/>
      <c r="K178" s="16"/>
      <c r="L178" s="16"/>
      <c r="M178" s="16"/>
      <c r="N178" s="16"/>
    </row>
    <row r="179" customFormat="false" ht="15" hidden="false" customHeight="false" outlineLevel="0" collapsed="false">
      <c r="A179" s="16"/>
      <c r="B179" s="16"/>
      <c r="C179" s="16"/>
      <c r="D179" s="16"/>
      <c r="E179" s="16"/>
      <c r="F179" s="16"/>
      <c r="G179" s="4" t="str">
        <f aca="false">IF(OR(E179="",F179=""),"",F179-E179)</f>
        <v/>
      </c>
      <c r="H179" s="4" t="str">
        <f aca="false">IF(OR(E179="",D179="partial"),"",IF(F179="","No (missed)",IF(ABS(G179)&lt;=0.5,"Yes","No")))</f>
        <v/>
      </c>
      <c r="I179" s="16"/>
      <c r="J179" s="16"/>
      <c r="K179" s="16"/>
      <c r="L179" s="16"/>
      <c r="M179" s="16"/>
      <c r="N179" s="16"/>
    </row>
    <row r="180" customFormat="false" ht="15" hidden="false" customHeight="false" outlineLevel="0" collapsed="false">
      <c r="A180" s="16"/>
      <c r="B180" s="16"/>
      <c r="C180" s="16"/>
      <c r="D180" s="16"/>
      <c r="E180" s="16"/>
      <c r="F180" s="16"/>
      <c r="G180" s="4" t="str">
        <f aca="false">IF(OR(E180="",F180=""),"",F180-E180)</f>
        <v/>
      </c>
      <c r="H180" s="4" t="str">
        <f aca="false">IF(OR(E180="",D180="partial"),"",IF(F180="","No (missed)",IF(ABS(G180)&lt;=0.5,"Yes","No")))</f>
        <v/>
      </c>
      <c r="I180" s="16"/>
      <c r="J180" s="16"/>
      <c r="K180" s="16"/>
      <c r="L180" s="16"/>
      <c r="M180" s="16"/>
      <c r="N180" s="16"/>
    </row>
    <row r="181" customFormat="false" ht="15" hidden="false" customHeight="false" outlineLevel="0" collapsed="false">
      <c r="A181" s="16"/>
      <c r="B181" s="16"/>
      <c r="C181" s="16"/>
      <c r="D181" s="16"/>
      <c r="E181" s="16"/>
      <c r="F181" s="16"/>
      <c r="G181" s="4" t="str">
        <f aca="false">IF(OR(E181="",F181=""),"",F181-E181)</f>
        <v/>
      </c>
      <c r="H181" s="4" t="str">
        <f aca="false">IF(OR(E181="",D181="partial"),"",IF(F181="","No (missed)",IF(ABS(G181)&lt;=0.5,"Yes","No")))</f>
        <v/>
      </c>
      <c r="I181" s="16"/>
      <c r="J181" s="16"/>
      <c r="K181" s="16"/>
      <c r="L181" s="16"/>
      <c r="M181" s="16"/>
      <c r="N181" s="16"/>
    </row>
    <row r="182" customFormat="false" ht="15" hidden="false" customHeight="false" outlineLevel="0" collapsed="false">
      <c r="A182" s="16"/>
      <c r="B182" s="16"/>
      <c r="C182" s="16"/>
      <c r="D182" s="16"/>
      <c r="E182" s="16"/>
      <c r="F182" s="16"/>
      <c r="G182" s="4" t="str">
        <f aca="false">IF(OR(E182="",F182=""),"",F182-E182)</f>
        <v/>
      </c>
      <c r="H182" s="4" t="str">
        <f aca="false">IF(OR(E182="",D182="partial"),"",IF(F182="","No (missed)",IF(ABS(G182)&lt;=0.5,"Yes","No")))</f>
        <v/>
      </c>
      <c r="I182" s="16"/>
      <c r="J182" s="16"/>
      <c r="K182" s="16"/>
      <c r="L182" s="16"/>
      <c r="M182" s="16"/>
      <c r="N182" s="16"/>
    </row>
    <row r="183" customFormat="false" ht="15" hidden="false" customHeight="false" outlineLevel="0" collapsed="false">
      <c r="A183" s="16"/>
      <c r="B183" s="16"/>
      <c r="C183" s="16"/>
      <c r="D183" s="16"/>
      <c r="E183" s="16"/>
      <c r="F183" s="16"/>
      <c r="G183" s="4" t="str">
        <f aca="false">IF(OR(E183="",F183=""),"",F183-E183)</f>
        <v/>
      </c>
      <c r="H183" s="4" t="str">
        <f aca="false">IF(OR(E183="",D183="partial"),"",IF(F183="","No (missed)",IF(ABS(G183)&lt;=0.5,"Yes","No")))</f>
        <v/>
      </c>
      <c r="I183" s="16"/>
      <c r="J183" s="16"/>
      <c r="K183" s="16"/>
      <c r="L183" s="16"/>
      <c r="M183" s="16"/>
      <c r="N183" s="16"/>
    </row>
    <row r="184" customFormat="false" ht="15" hidden="false" customHeight="false" outlineLevel="0" collapsed="false">
      <c r="A184" s="16"/>
      <c r="B184" s="16"/>
      <c r="C184" s="16"/>
      <c r="D184" s="16"/>
      <c r="E184" s="16"/>
      <c r="F184" s="16"/>
      <c r="G184" s="4" t="str">
        <f aca="false">IF(OR(E184="",F184=""),"",F184-E184)</f>
        <v/>
      </c>
      <c r="H184" s="4" t="str">
        <f aca="false">IF(OR(E184="",D184="partial"),"",IF(F184="","No (missed)",IF(ABS(G184)&lt;=0.5,"Yes","No")))</f>
        <v/>
      </c>
      <c r="I184" s="16"/>
      <c r="J184" s="16"/>
      <c r="K184" s="16"/>
      <c r="L184" s="16"/>
      <c r="M184" s="16"/>
      <c r="N184" s="16"/>
    </row>
    <row r="185" customFormat="false" ht="15" hidden="false" customHeight="false" outlineLevel="0" collapsed="false">
      <c r="A185" s="16"/>
      <c r="B185" s="16"/>
      <c r="C185" s="16"/>
      <c r="D185" s="16"/>
      <c r="E185" s="16"/>
      <c r="F185" s="16"/>
      <c r="G185" s="4" t="str">
        <f aca="false">IF(OR(E185="",F185=""),"",F185-E185)</f>
        <v/>
      </c>
      <c r="H185" s="4" t="str">
        <f aca="false">IF(OR(E185="",D185="partial"),"",IF(F185="","No (missed)",IF(ABS(G185)&lt;=0.5,"Yes","No")))</f>
        <v/>
      </c>
      <c r="I185" s="16"/>
      <c r="J185" s="16"/>
      <c r="K185" s="16"/>
      <c r="L185" s="16"/>
      <c r="M185" s="16"/>
      <c r="N185" s="16"/>
    </row>
    <row r="186" customFormat="false" ht="15" hidden="false" customHeight="false" outlineLevel="0" collapsed="false">
      <c r="A186" s="16"/>
      <c r="B186" s="16"/>
      <c r="C186" s="16"/>
      <c r="D186" s="16"/>
      <c r="E186" s="16"/>
      <c r="F186" s="16"/>
      <c r="G186" s="4" t="str">
        <f aca="false">IF(OR(E186="",F186=""),"",F186-E186)</f>
        <v/>
      </c>
      <c r="H186" s="4" t="str">
        <f aca="false">IF(OR(E186="",D186="partial"),"",IF(F186="","No (missed)",IF(ABS(G186)&lt;=0.5,"Yes","No")))</f>
        <v/>
      </c>
      <c r="I186" s="16"/>
      <c r="J186" s="16"/>
      <c r="K186" s="16"/>
      <c r="L186" s="16"/>
      <c r="M186" s="16"/>
      <c r="N186" s="16"/>
    </row>
    <row r="187" customFormat="false" ht="15" hidden="false" customHeight="false" outlineLevel="0" collapsed="false">
      <c r="A187" s="16"/>
      <c r="B187" s="16"/>
      <c r="C187" s="16"/>
      <c r="D187" s="16"/>
      <c r="E187" s="16"/>
      <c r="F187" s="16"/>
      <c r="G187" s="4" t="str">
        <f aca="false">IF(OR(E187="",F187=""),"",F187-E187)</f>
        <v/>
      </c>
      <c r="H187" s="4" t="str">
        <f aca="false">IF(OR(E187="",D187="partial"),"",IF(F187="","No (missed)",IF(ABS(G187)&lt;=0.5,"Yes","No")))</f>
        <v/>
      </c>
      <c r="I187" s="16"/>
      <c r="J187" s="16"/>
      <c r="K187" s="16"/>
      <c r="L187" s="16"/>
      <c r="M187" s="16"/>
      <c r="N187" s="16"/>
    </row>
    <row r="188" customFormat="false" ht="15" hidden="false" customHeight="false" outlineLevel="0" collapsed="false">
      <c r="A188" s="16"/>
      <c r="B188" s="16"/>
      <c r="C188" s="16"/>
      <c r="D188" s="16"/>
      <c r="E188" s="16"/>
      <c r="F188" s="16"/>
      <c r="G188" s="4" t="str">
        <f aca="false">IF(OR(E188="",F188=""),"",F188-E188)</f>
        <v/>
      </c>
      <c r="H188" s="4" t="str">
        <f aca="false">IF(OR(E188="",D188="partial"),"",IF(F188="","No (missed)",IF(ABS(G188)&lt;=0.5,"Yes","No")))</f>
        <v/>
      </c>
      <c r="I188" s="16"/>
      <c r="J188" s="16"/>
      <c r="K188" s="16"/>
      <c r="L188" s="16"/>
      <c r="M188" s="16"/>
      <c r="N188" s="16"/>
    </row>
    <row r="189" customFormat="false" ht="15" hidden="false" customHeight="false" outlineLevel="0" collapsed="false">
      <c r="A189" s="16"/>
      <c r="B189" s="16"/>
      <c r="C189" s="16"/>
      <c r="D189" s="16"/>
      <c r="E189" s="16"/>
      <c r="F189" s="16"/>
      <c r="G189" s="4" t="str">
        <f aca="false">IF(OR(E189="",F189=""),"",F189-E189)</f>
        <v/>
      </c>
      <c r="H189" s="4" t="str">
        <f aca="false">IF(OR(E189="",D189="partial"),"",IF(F189="","No (missed)",IF(ABS(G189)&lt;=0.5,"Yes","No")))</f>
        <v/>
      </c>
      <c r="I189" s="16"/>
      <c r="J189" s="16"/>
      <c r="K189" s="16"/>
      <c r="L189" s="16"/>
      <c r="M189" s="16"/>
      <c r="N189" s="16"/>
    </row>
    <row r="190" customFormat="false" ht="15" hidden="false" customHeight="false" outlineLevel="0" collapsed="false">
      <c r="A190" s="16"/>
      <c r="B190" s="16"/>
      <c r="C190" s="16"/>
      <c r="D190" s="16"/>
      <c r="E190" s="16"/>
      <c r="F190" s="16"/>
      <c r="G190" s="4" t="str">
        <f aca="false">IF(OR(E190="",F190=""),"",F190-E190)</f>
        <v/>
      </c>
      <c r="H190" s="4" t="str">
        <f aca="false">IF(OR(E190="",D190="partial"),"",IF(F190="","No (missed)",IF(ABS(G190)&lt;=0.5,"Yes","No")))</f>
        <v/>
      </c>
      <c r="I190" s="16"/>
      <c r="J190" s="16"/>
      <c r="K190" s="16"/>
      <c r="L190" s="16"/>
      <c r="M190" s="16"/>
      <c r="N190" s="16"/>
    </row>
    <row r="191" customFormat="false" ht="15" hidden="false" customHeight="false" outlineLevel="0" collapsed="false">
      <c r="A191" s="16"/>
      <c r="B191" s="16"/>
      <c r="C191" s="16"/>
      <c r="D191" s="16"/>
      <c r="E191" s="16"/>
      <c r="F191" s="16"/>
      <c r="G191" s="4" t="str">
        <f aca="false">IF(OR(E191="",F191=""),"",F191-E191)</f>
        <v/>
      </c>
      <c r="H191" s="4" t="str">
        <f aca="false">IF(OR(E191="",D191="partial"),"",IF(F191="","No (missed)",IF(ABS(G191)&lt;=0.5,"Yes","No")))</f>
        <v/>
      </c>
      <c r="I191" s="16"/>
      <c r="J191" s="16"/>
      <c r="K191" s="16"/>
      <c r="L191" s="16"/>
      <c r="M191" s="16"/>
      <c r="N191" s="16"/>
    </row>
    <row r="192" customFormat="false" ht="15" hidden="false" customHeight="false" outlineLevel="0" collapsed="false">
      <c r="A192" s="16"/>
      <c r="B192" s="16"/>
      <c r="C192" s="16"/>
      <c r="D192" s="16"/>
      <c r="E192" s="16"/>
      <c r="F192" s="16"/>
      <c r="G192" s="4" t="str">
        <f aca="false">IF(OR(E192="",F192=""),"",F192-E192)</f>
        <v/>
      </c>
      <c r="H192" s="4" t="str">
        <f aca="false">IF(OR(E192="",D192="partial"),"",IF(F192="","No (missed)",IF(ABS(G192)&lt;=0.5,"Yes","No")))</f>
        <v/>
      </c>
      <c r="I192" s="16"/>
      <c r="J192" s="16"/>
      <c r="K192" s="16"/>
      <c r="L192" s="16"/>
      <c r="M192" s="16"/>
      <c r="N192" s="16"/>
    </row>
    <row r="193" customFormat="false" ht="15" hidden="false" customHeight="false" outlineLevel="0" collapsed="false">
      <c r="A193" s="16"/>
      <c r="B193" s="16"/>
      <c r="C193" s="16"/>
      <c r="D193" s="16"/>
      <c r="E193" s="16"/>
      <c r="F193" s="16"/>
      <c r="G193" s="4" t="str">
        <f aca="false">IF(OR(E193="",F193=""),"",F193-E193)</f>
        <v/>
      </c>
      <c r="H193" s="4" t="str">
        <f aca="false">IF(OR(E193="",D193="partial"),"",IF(F193="","No (missed)",IF(ABS(G193)&lt;=0.5,"Yes","No")))</f>
        <v/>
      </c>
      <c r="I193" s="16"/>
      <c r="J193" s="16"/>
      <c r="K193" s="16"/>
      <c r="L193" s="16"/>
      <c r="M193" s="16"/>
      <c r="N193" s="16"/>
    </row>
    <row r="194" customFormat="false" ht="15" hidden="false" customHeight="false" outlineLevel="0" collapsed="false">
      <c r="A194" s="16"/>
      <c r="B194" s="16"/>
      <c r="C194" s="16"/>
      <c r="D194" s="16"/>
      <c r="E194" s="16"/>
      <c r="F194" s="16"/>
      <c r="G194" s="4" t="str">
        <f aca="false">IF(OR(E194="",F194=""),"",F194-E194)</f>
        <v/>
      </c>
      <c r="H194" s="4" t="str">
        <f aca="false">IF(OR(E194="",D194="partial"),"",IF(F194="","No (missed)",IF(ABS(G194)&lt;=0.5,"Yes","No")))</f>
        <v/>
      </c>
      <c r="I194" s="16"/>
      <c r="J194" s="16"/>
      <c r="K194" s="16"/>
      <c r="L194" s="16"/>
      <c r="M194" s="16"/>
      <c r="N194" s="16"/>
    </row>
    <row r="195" customFormat="false" ht="15" hidden="false" customHeight="false" outlineLevel="0" collapsed="false">
      <c r="A195" s="16"/>
      <c r="B195" s="16"/>
      <c r="C195" s="16"/>
      <c r="D195" s="16"/>
      <c r="E195" s="16"/>
      <c r="F195" s="16"/>
      <c r="G195" s="4" t="str">
        <f aca="false">IF(OR(E195="",F195=""),"",F195-E195)</f>
        <v/>
      </c>
      <c r="H195" s="4" t="str">
        <f aca="false">IF(OR(E195="",D195="partial"),"",IF(F195="","No (missed)",IF(ABS(G195)&lt;=0.5,"Yes","No")))</f>
        <v/>
      </c>
      <c r="I195" s="16"/>
      <c r="J195" s="16"/>
      <c r="K195" s="16"/>
      <c r="L195" s="16"/>
      <c r="M195" s="16"/>
      <c r="N195" s="16"/>
    </row>
    <row r="196" customFormat="false" ht="15" hidden="false" customHeight="false" outlineLevel="0" collapsed="false">
      <c r="A196" s="16"/>
      <c r="B196" s="16"/>
      <c r="C196" s="16"/>
      <c r="D196" s="16"/>
      <c r="E196" s="16"/>
      <c r="F196" s="16"/>
      <c r="G196" s="4" t="str">
        <f aca="false">IF(OR(E196="",F196=""),"",F196-E196)</f>
        <v/>
      </c>
      <c r="H196" s="4" t="str">
        <f aca="false">IF(OR(E196="",D196="partial"),"",IF(F196="","No (missed)",IF(ABS(G196)&lt;=0.5,"Yes","No")))</f>
        <v/>
      </c>
      <c r="I196" s="16"/>
      <c r="J196" s="16"/>
      <c r="K196" s="16"/>
      <c r="L196" s="16"/>
      <c r="M196" s="16"/>
      <c r="N196" s="16"/>
    </row>
    <row r="197" customFormat="false" ht="15" hidden="false" customHeight="false" outlineLevel="0" collapsed="false">
      <c r="A197" s="16"/>
      <c r="B197" s="16"/>
      <c r="C197" s="16"/>
      <c r="D197" s="16"/>
      <c r="E197" s="16"/>
      <c r="F197" s="16"/>
      <c r="G197" s="4" t="str">
        <f aca="false">IF(OR(E197="",F197=""),"",F197-E197)</f>
        <v/>
      </c>
      <c r="H197" s="4" t="str">
        <f aca="false">IF(OR(E197="",D197="partial"),"",IF(F197="","No (missed)",IF(ABS(G197)&lt;=0.5,"Yes","No")))</f>
        <v/>
      </c>
      <c r="I197" s="16"/>
      <c r="J197" s="16"/>
      <c r="K197" s="16"/>
      <c r="L197" s="16"/>
      <c r="M197" s="16"/>
      <c r="N197" s="16"/>
    </row>
    <row r="198" customFormat="false" ht="15" hidden="false" customHeight="false" outlineLevel="0" collapsed="false">
      <c r="A198" s="16"/>
      <c r="B198" s="16"/>
      <c r="C198" s="16"/>
      <c r="D198" s="16"/>
      <c r="E198" s="16"/>
      <c r="F198" s="16"/>
      <c r="G198" s="4" t="str">
        <f aca="false">IF(OR(E198="",F198=""),"",F198-E198)</f>
        <v/>
      </c>
      <c r="H198" s="4" t="str">
        <f aca="false">IF(OR(E198="",D198="partial"),"",IF(F198="","No (missed)",IF(ABS(G198)&lt;=0.5,"Yes","No")))</f>
        <v/>
      </c>
      <c r="I198" s="16"/>
      <c r="J198" s="16"/>
      <c r="K198" s="16"/>
      <c r="L198" s="16"/>
      <c r="M198" s="16"/>
      <c r="N198" s="16"/>
    </row>
    <row r="199" customFormat="false" ht="15" hidden="false" customHeight="false" outlineLevel="0" collapsed="false">
      <c r="A199" s="16"/>
      <c r="B199" s="16"/>
      <c r="C199" s="16"/>
      <c r="D199" s="16"/>
      <c r="E199" s="16"/>
      <c r="F199" s="16"/>
      <c r="G199" s="4" t="str">
        <f aca="false">IF(OR(E199="",F199=""),"",F199-E199)</f>
        <v/>
      </c>
      <c r="H199" s="4" t="str">
        <f aca="false">IF(OR(E199="",D199="partial"),"",IF(F199="","No (missed)",IF(ABS(G199)&lt;=0.5,"Yes","No")))</f>
        <v/>
      </c>
      <c r="I199" s="16"/>
      <c r="J199" s="16"/>
      <c r="K199" s="16"/>
      <c r="L199" s="16"/>
      <c r="M199" s="16"/>
      <c r="N199" s="16"/>
    </row>
    <row r="200" customFormat="false" ht="15" hidden="false" customHeight="false" outlineLevel="0" collapsed="false">
      <c r="A200" s="16"/>
      <c r="B200" s="16"/>
      <c r="C200" s="16"/>
      <c r="D200" s="16"/>
      <c r="E200" s="16"/>
      <c r="F200" s="16"/>
      <c r="G200" s="4" t="str">
        <f aca="false">IF(OR(E200="",F200=""),"",F200-E200)</f>
        <v/>
      </c>
      <c r="H200" s="4" t="str">
        <f aca="false">IF(OR(E200="",D200="partial"),"",IF(F200="","No (missed)",IF(ABS(G200)&lt;=0.5,"Yes","No")))</f>
        <v/>
      </c>
      <c r="I200" s="16"/>
      <c r="J200" s="16"/>
      <c r="K200" s="16"/>
      <c r="L200" s="16"/>
      <c r="M200" s="16"/>
      <c r="N200" s="16"/>
    </row>
    <row r="201" customFormat="false" ht="15" hidden="false" customHeight="false" outlineLevel="0" collapsed="false">
      <c r="A201" s="16"/>
      <c r="B201" s="16"/>
      <c r="C201" s="16"/>
      <c r="D201" s="16"/>
      <c r="E201" s="16"/>
      <c r="F201" s="16"/>
      <c r="G201" s="4" t="str">
        <f aca="false">IF(OR(E201="",F201=""),"",F201-E201)</f>
        <v/>
      </c>
      <c r="H201" s="4" t="str">
        <f aca="false">IF(OR(E201="",D201="partial"),"",IF(F201="","No (missed)",IF(ABS(G201)&lt;=0.5,"Yes","No")))</f>
        <v/>
      </c>
      <c r="I201" s="16"/>
      <c r="J201" s="16"/>
      <c r="K201" s="16"/>
      <c r="L201" s="16"/>
      <c r="M201" s="16"/>
      <c r="N201" s="16"/>
    </row>
  </sheetData>
  <dataValidations count="7">
    <dataValidation allowBlank="true" errorStyle="stop" operator="between" showDropDown="false" showErrorMessage="false" showInputMessage="false" sqref="C2:C201" type="list">
      <formula1>"curl,raise,press"</formula1>
      <formula2>0</formula2>
    </dataValidation>
    <dataValidation allowBlank="true" errorStyle="stop" operator="between" showDropDown="false" showErrorMessage="false" showInputMessage="false" sqref="D2:D201" type="list">
      <formula1>"clean,momentum,partial"</formula1>
      <formula2>0</formula2>
    </dataValidation>
    <dataValidation allowBlank="true" errorStyle="stop" operator="between" showDropDown="false" showErrorMessage="false" showInputMessage="false" sqref="I2:I201" type="list">
      <formula1>"Yes,No"</formula1>
      <formula2>0</formula2>
    </dataValidation>
    <dataValidation allowBlank="true" errorStyle="stop" operator="between" showDropDown="false" showErrorMessage="false" showInputMessage="false" sqref="J2:J201" type="list">
      <formula1>"Yes,No"</formula1>
      <formula2>0</formula2>
    </dataValidation>
    <dataValidation allowBlank="true" errorStyle="stop" operator="between" showDropDown="false" showErrorMessage="false" showInputMessage="false" sqref="K2:K201" type="list">
      <formula1>"Yes,No"</formula1>
      <formula2>0</formula2>
    </dataValidation>
    <dataValidation allowBlank="true" errorStyle="stop" operator="between" showDropDown="false" showErrorMessage="false" showInputMessage="false" sqref="L2:L201" type="list">
      <formula1>"Yes,No,Example"</formula1>
      <formula2>0</formula2>
    </dataValidation>
    <dataValidation allowBlank="true" errorStyle="stop" operator="between" showDropDown="false" showErrorMessage="false" showInputMessage="false" sqref="M2:M201"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2026-10-21T19:12:54Z</dcterms:created>
  <dc:creator>openpyxl</dc:creator>
  <dc:description/>
  <dc:language>en-US</dc:language>
  <cp:lastModifiedBy/>
  <dcterms:modified xsi:type="dcterms:W3CDTF">2026-10-21T19:12:55Z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